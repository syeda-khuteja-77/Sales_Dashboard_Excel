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mc:AlternateContent xmlns:mc="http://schemas.openxmlformats.org/markup-compatibility/2006">
    <mc:Choice Requires="x15">
      <x15ac:absPath xmlns:x15ac="http://schemas.microsoft.com/office/spreadsheetml/2010/11/ac" url="C:\Users\Admin\Desktop\Ingrade\Excel\"/>
    </mc:Choice>
  </mc:AlternateContent>
  <xr:revisionPtr revIDLastSave="0" documentId="13_ncr:1_{10FF60BC-56D0-40C6-85B5-976B63574B40}" xr6:coauthVersionLast="40" xr6:coauthVersionMax="47" xr10:uidLastSave="{00000000-0000-0000-0000-000000000000}"/>
  <bookViews>
    <workbookView xWindow="0" yWindow="0" windowWidth="20490" windowHeight="7425" xr2:uid="{81B131B8-40DA-4A81-A236-8E00830B305E}"/>
  </bookViews>
  <sheets>
    <sheet name="pivot" sheetId="4" r:id="rId1"/>
    <sheet name="Data Table" sheetId="1" r:id="rId2"/>
    <sheet name="Dashboard" sheetId="3" r:id="rId3"/>
  </sheets>
  <definedNames>
    <definedName name="Slicer_Customer_Type">#N/A</definedName>
    <definedName name="Slicer_Payment_Method">#N/A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<sst xmlns="http://schemas.openxmlformats.org/spreadsheetml/2006/main" count="1282" uniqueCount="86">
  <si>
    <t>Date</t>
  </si>
  <si>
    <t>Product Name</t>
  </si>
  <si>
    <t>Category</t>
  </si>
  <si>
    <t>Sales Representative</t>
  </si>
  <si>
    <t>Region</t>
  </si>
  <si>
    <t>Quantity Sold</t>
  </si>
  <si>
    <t>Unit Price</t>
  </si>
  <si>
    <t>Total Sale</t>
  </si>
  <si>
    <t>Cost Price</t>
  </si>
  <si>
    <t>Profit</t>
  </si>
  <si>
    <t>Payment Method</t>
  </si>
  <si>
    <t>Order Status</t>
  </si>
  <si>
    <t>Region Manager</t>
  </si>
  <si>
    <t>Customer Type</t>
  </si>
  <si>
    <t>Table</t>
  </si>
  <si>
    <t>Home Goods</t>
  </si>
  <si>
    <t>Charlie</t>
  </si>
  <si>
    <t>West</t>
  </si>
  <si>
    <t>Credit Card</t>
  </si>
  <si>
    <t>Completed</t>
  </si>
  <si>
    <t>Lisa White</t>
  </si>
  <si>
    <t>Regular</t>
  </si>
  <si>
    <t>Curtains</t>
  </si>
  <si>
    <t>Bob</t>
  </si>
  <si>
    <t>East</t>
  </si>
  <si>
    <t>Cash</t>
  </si>
  <si>
    <t>Pending</t>
  </si>
  <si>
    <t>Tom Brown</t>
  </si>
  <si>
    <t>VIP</t>
  </si>
  <si>
    <t>Sneakers</t>
  </si>
  <si>
    <t>Clothing</t>
  </si>
  <si>
    <t>South</t>
  </si>
  <si>
    <t>Online Transfer</t>
  </si>
  <si>
    <t>Cancelled</t>
  </si>
  <si>
    <t>Mark Davis</t>
  </si>
  <si>
    <t>New</t>
  </si>
  <si>
    <t>Chair</t>
  </si>
  <si>
    <t>Sarah Johnson</t>
  </si>
  <si>
    <t>Lamp</t>
  </si>
  <si>
    <t>Laptop</t>
  </si>
  <si>
    <t>Electronics</t>
  </si>
  <si>
    <t>T-Shirt</t>
  </si>
  <si>
    <t>Alice</t>
  </si>
  <si>
    <t>Yoga Mat</t>
  </si>
  <si>
    <t>Sports</t>
  </si>
  <si>
    <t>Tennis Racket</t>
  </si>
  <si>
    <t>North</t>
  </si>
  <si>
    <t>Dumbbells</t>
  </si>
  <si>
    <t>Eve</t>
  </si>
  <si>
    <t>Diana</t>
  </si>
  <si>
    <t>Smartphone</t>
  </si>
  <si>
    <t>Perfume</t>
  </si>
  <si>
    <t>Beauty</t>
  </si>
  <si>
    <t>Camera</t>
  </si>
  <si>
    <t>Headphones</t>
  </si>
  <si>
    <t>Football</t>
  </si>
  <si>
    <t>Shampoo</t>
  </si>
  <si>
    <t>Jeans</t>
  </si>
  <si>
    <t>Face Cream</t>
  </si>
  <si>
    <t>Jacket</t>
  </si>
  <si>
    <t>Lipstick</t>
  </si>
  <si>
    <t>Row Labels</t>
  </si>
  <si>
    <t>Grand Total</t>
  </si>
  <si>
    <t>Sum of Profit</t>
  </si>
  <si>
    <t>Profit per region</t>
  </si>
  <si>
    <t>Sales per Category</t>
  </si>
  <si>
    <t>Sum of Total Sale</t>
  </si>
  <si>
    <t>sales per region</t>
  </si>
  <si>
    <t>Ranking for Managers</t>
  </si>
  <si>
    <t>Jan</t>
  </si>
  <si>
    <t>Feb</t>
  </si>
  <si>
    <t>Mar</t>
  </si>
  <si>
    <t>Apr</t>
  </si>
  <si>
    <t>May</t>
  </si>
  <si>
    <t>Jun</t>
  </si>
  <si>
    <t>Jul</t>
  </si>
  <si>
    <t>Aug</t>
  </si>
  <si>
    <t>Sep</t>
  </si>
  <si>
    <t>Oct</t>
  </si>
  <si>
    <t>Nov</t>
  </si>
  <si>
    <t>Dec</t>
  </si>
  <si>
    <t>sales by month</t>
  </si>
  <si>
    <t>sales by sales represntative</t>
  </si>
  <si>
    <t>Count of Product Name</t>
  </si>
  <si>
    <t>Sum of Quantity Sold</t>
  </si>
  <si>
    <t>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</si>
</sst>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quot;₹&quot;\ * #,##0_ ;_ &quot;₹&quot;\ * \-#,##0_ ;_ &quot;₹&quot;\ * &quot;-&quot;??_ ;_ @_ "/>
    <numFmt numFmtId="165" formatCode="_ [$₹-4009]\ * #,##0_ ;_ [$₹-4009]\ * \-#,##0_ ;_ [$₹-4009]\ * &quot;-&quot;??_ ;_ @_ "/>
    <numFmt numFmtId="166" formatCode="[$-F800]dddd\,\ mmmm\ dd\,\ yyyy"/>
  </numFmts>
  <fonts count="4">
    <font>
      <sz val="11"/>
      <color theme="1"/>
      <name val="Aptos Narrow"/>
      <family val="2"/>
      <scheme val="minor"/>
    </font>
    <font>
      <sz val="11"/>
      <color theme="1"/>
      <name val="Kulim Park"/>
    </font>
    <font>
      <b/>
      <sz val="11"/>
      <color theme="0"/>
      <name val="Kulim Park"/>
    </font>
    <font>
      <b/>
      <sz val="11"/>
      <color theme="1"/>
      <name val="Aptos Narrow"/>
      <scheme val="minor"/>
    </font>
  </fonts>
  <fills count="4">
    <fill>
      <patternFill patternType="none"/>
    </fill>
    <fill>
      <patternFill patternType="gray125"/>
    </fill>
    <fill>
      <patternFill patternType="solid">
        <fgColor theme="9" tint="-0.249977111117893"/>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14" fontId="1" fillId="0" borderId="0" xfId="0" applyNumberFormat="1" applyFont="1" applyAlignment="1">
      <alignment horizontal="center" vertical="center"/>
    </xf>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 fontId="0" fillId="0" borderId="0" xfId="0" applyNumberFormat="1"/>
    <xf numFmtId="165" fontId="0" fillId="0" borderId="0" xfId="0" applyNumberFormat="1"/>
    <xf numFmtId="166" fontId="1" fillId="0" borderId="0" xfId="0" applyNumberFormat="1" applyFont="1" applyAlignment="1">
      <alignment horizontal="center" vertical="center"/>
    </xf>
    <xf numFmtId="0" fontId="3" fillId="3" borderId="0" xfId="0" applyFont="1" applyFill="1" applyAlignment="1">
      <alignment horizontal="center"/>
    </xf>
  </cellXfs>
  <cellStyles count="1">
    <cellStyle name="Normal" xfId="0" builtinId="0"/>
  </cellStyles>
  <dxfs count="226">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164" formatCode="_ &quot;₹&quot;\ * #,##0_ ;_ &quot;₹&quot;\ * \-#,##0_ ;_ &quot;₹&quot;\ * &quot;-&quot;??_ ;_ @_ "/>
    </dxf>
    <dxf>
      <numFmt numFmtId="165" formatCode="_ [$₹-4009]\ * #,##0_ ;_ [$₹-4009]\ * \-#,##0_ ;_ [$₹-4009]\ * &quot;-&quot;??_ ;_ @_ "/>
    </dxf>
    <dxf>
      <numFmt numFmtId="0" formatCode="General"/>
    </dxf>
    <dxf>
      <numFmt numFmtId="0" formatCode="General"/>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0" formatCode="General"/>
    </dxf>
    <dxf>
      <numFmt numFmtId="164" formatCode="_ &quot;₹&quot;\ * #,##0_ ;_ &quot;₹&quot;\ * \-#,##0_ ;_ &quot;₹&quot;\ * &quot;-&quot;??_ ;_ @_ "/>
    </dxf>
    <dxf>
      <numFmt numFmtId="0" formatCode="General"/>
    </dxf>
    <dxf>
      <font>
        <color rgb="FF275317"/>
      </font>
      <fill>
        <patternFill>
          <fgColor theme="9" tint="-0.499984740745262"/>
          <bgColor rgb="FF264F15"/>
        </patternFill>
      </fill>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Kulim Park"/>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Kulim Park"/>
        <scheme val="none"/>
      </font>
      <fill>
        <patternFill patternType="solid">
          <fgColor indexed="64"/>
          <bgColor theme="9" tint="-0.249977111117893"/>
        </patternFill>
      </fill>
      <alignment horizontal="center" vertical="center" textRotation="0" wrapText="0" indent="0" justifyLastLine="0" shrinkToFit="0" readingOrder="0"/>
    </dxf>
    <dxf>
      <numFmt numFmtId="164" formatCode="_ &quot;₹&quot;\ * #,##0_ ;_ &quot;₹&quot;\ * \-#,##0_ ;_ &quot;₹&quot;\ * &quot;-&quot;??_ ;_ @_ "/>
    </dxf>
    <dxf>
      <numFmt numFmtId="164" formatCode="_ &quot;₹&quot;\ * #,##0_ ;_ &quot;₹&quot;\ * \-#,##0_ ;_ &quot;₹&quot;\ * &quot;-&quot;??_ ;_ @_ "/>
    </dxf>
    <dxf>
      <numFmt numFmtId="0" formatCode="General"/>
    </dxf>
    <dxf>
      <numFmt numFmtId="0" formatCode="General"/>
    </dxf>
    <dxf>
      <numFmt numFmtId="165" formatCode="_ [$₹-4009]\ * #,##0_ ;_ [$₹-4009]\ * \-#,##0_ ;_ [$₹-4009]\ * &quot;-&quot;??_ ;_ @_ "/>
    </dxf>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1" formatCode="0"/>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0" formatCode="General"/>
    </dxf>
    <dxf>
      <numFmt numFmtId="164" formatCode="_ &quot;₹&quot;\ * #,##0_ ;_ &quot;₹&quot;\ * \-#,##0_ ;_ &quot;₹&quot;\ * &quot;-&quot;??_ ;_ @_ "/>
    </dxf>
  </dxfs>
  <tableStyles count="1" defaultTableStyle="TableStyleMedium2" defaultPivotStyle="PivotStyleLight16">
    <tableStyle name="Slicer Style 1" pivot="0" table="0" count="5" xr9:uid="{236BC715-3DD8-4A0B-B9FC-844C2A0EBDC1}">
      <tableStyleElement type="wholeTable" dxfId="192"/>
    </tableStyle>
  </tableStyles>
  <colors>
    <mruColors>
      <color rgb="FF00FF00"/>
      <color rgb="FFFFFF00"/>
      <color rgb="FF264F15"/>
      <color rgb="FF275317"/>
      <color rgb="FF006600"/>
      <color rgb="FF003300"/>
      <color rgb="FF09DD2C"/>
    </mruColors>
  </colors>
  <extLst>
    <ext xmlns:x14="http://schemas.microsoft.com/office/spreadsheetml/2009/9/main" uri="{46F421CA-312F-682f-3DD2-61675219B42D}">
      <x14:dxfs count="3">
        <dxf>
          <font>
            <color theme="0"/>
          </font>
          <border>
            <left style="medium">
              <color theme="9" tint="0.39994506668294322"/>
            </left>
          </border>
        </dxf>
        <dxf>
          <font>
            <b/>
            <i val="0"/>
            <color theme="0"/>
          </font>
          <border>
            <left style="medium">
              <color theme="9" tint="0.39994506668294322"/>
            </left>
          </border>
        </dxf>
        <dxf>
          <font>
            <color theme="0" tint="-0.14996795556505021"/>
          </font>
          <border>
            <left style="medium">
              <color auto="1"/>
            </left>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dashboard.xlsx]pivot!sales per region</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pivotFmt>
    </c:pivotFmts>
    <c:plotArea>
      <c:layout>
        <c:manualLayout>
          <c:layoutTarget val="inner"/>
          <c:xMode val="edge"/>
          <c:yMode val="edge"/>
          <c:x val="0.20930673071795511"/>
          <c:y val="0.124293674724254"/>
          <c:w val="0.70697076664584635"/>
          <c:h val="0.59284346025760915"/>
        </c:manualLayout>
      </c:layout>
      <c:barChart>
        <c:barDir val="bar"/>
        <c:grouping val="clustered"/>
        <c:varyColors val="0"/>
        <c:ser>
          <c:idx val="0"/>
          <c:order val="0"/>
          <c:tx>
            <c:strRef>
              <c:f>pivot!$I$3</c:f>
              <c:strCache>
                <c:ptCount val="1"/>
                <c:pt idx="0">
                  <c:v>Total</c:v>
                </c:pt>
              </c:strCache>
            </c:strRef>
          </c:tx>
          <c:spPr>
            <a:solidFill>
              <a:schemeClr val="accent6">
                <a:lumMod val="50000"/>
              </a:schemeClr>
            </a:solidFill>
            <a:ln>
              <a:noFill/>
            </a:ln>
            <a:effectLst/>
          </c:spPr>
          <c:invertIfNegative val="0"/>
          <c:cat>
            <c:strRef>
              <c:f>pivot!$H$4:$H$8</c:f>
              <c:strCache>
                <c:ptCount val="4"/>
                <c:pt idx="0">
                  <c:v>East</c:v>
                </c:pt>
                <c:pt idx="1">
                  <c:v>North</c:v>
                </c:pt>
                <c:pt idx="2">
                  <c:v>South</c:v>
                </c:pt>
                <c:pt idx="3">
                  <c:v>West</c:v>
                </c:pt>
              </c:strCache>
            </c:strRef>
          </c:cat>
          <c:val>
            <c:numRef>
              <c:f>pivot!$I$4:$I$8</c:f>
              <c:numCache>
                <c:formatCode>General</c:formatCode>
                <c:ptCount val="4"/>
                <c:pt idx="0">
                  <c:v>60100.989999999983</c:v>
                </c:pt>
                <c:pt idx="1">
                  <c:v>50329.01</c:v>
                </c:pt>
                <c:pt idx="2">
                  <c:v>67158.789999999994</c:v>
                </c:pt>
                <c:pt idx="3">
                  <c:v>31182.520000000004</c:v>
                </c:pt>
              </c:numCache>
            </c:numRef>
          </c:val>
          <c:extLst>
            <c:ext xmlns:c16="http://schemas.microsoft.com/office/drawing/2014/chart" uri="{C3380CC4-5D6E-409C-BE32-E72D297353CC}">
              <c16:uniqueId val="{00000000-DAB1-4EF0-B915-5E524A86950B}"/>
            </c:ext>
          </c:extLst>
        </c:ser>
        <c:dLbls>
          <c:showLegendKey val="0"/>
          <c:showVal val="0"/>
          <c:showCatName val="0"/>
          <c:showSerName val="0"/>
          <c:showPercent val="0"/>
          <c:showBubbleSize val="0"/>
        </c:dLbls>
        <c:gapWidth val="53"/>
        <c:axId val="2046886047"/>
        <c:axId val="2125648591"/>
      </c:barChart>
      <c:catAx>
        <c:axId val="204688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25648591"/>
        <c:crosses val="autoZero"/>
        <c:auto val="1"/>
        <c:lblAlgn val="ctr"/>
        <c:lblOffset val="100"/>
        <c:noMultiLvlLbl val="0"/>
      </c:catAx>
      <c:valAx>
        <c:axId val="2125648591"/>
        <c:scaling>
          <c:orientation val="minMax"/>
          <c:max val="75000"/>
        </c:scaling>
        <c:delete val="0"/>
        <c:axPos val="b"/>
        <c:majorGridlines>
          <c:spPr>
            <a:ln w="9525" cap="flat" cmpd="sng" algn="ctr">
              <a:solidFill>
                <a:schemeClr val="accent6">
                  <a:lumMod val="50000"/>
                  <a:alpha val="34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46886047"/>
        <c:crosses val="autoZero"/>
        <c:crossBetween val="between"/>
        <c:majorUnit val="15000"/>
        <c:dispUnits>
          <c:builtInUnit val="thousands"/>
          <c:dispUnitsLbl>
            <c:layout>
              <c:manualLayout>
                <c:xMode val="edge"/>
                <c:yMode val="edge"/>
                <c:x val="0.60704945606768934"/>
                <c:y val="0.84918688137143661"/>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dashboard.xlsx]pivot!sales by month</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6"/>
            </a:solidFill>
            <a:round/>
          </a:ln>
          <a:effectLst/>
        </c:spPr>
        <c:marker>
          <c:symbol val="none"/>
        </c:marker>
      </c:pivotFmt>
    </c:pivotFmts>
    <c:plotArea>
      <c:layout/>
      <c:lineChart>
        <c:grouping val="standard"/>
        <c:varyColors val="0"/>
        <c:ser>
          <c:idx val="0"/>
          <c:order val="0"/>
          <c:tx>
            <c:strRef>
              <c:f>pivot!$O$3</c:f>
              <c:strCache>
                <c:ptCount val="1"/>
                <c:pt idx="0">
                  <c:v>Total</c:v>
                </c:pt>
              </c:strCache>
            </c:strRef>
          </c:tx>
          <c:spPr>
            <a:ln w="28575" cap="rnd">
              <a:solidFill>
                <a:schemeClr val="accent6"/>
              </a:solidFill>
              <a:round/>
            </a:ln>
            <a:effectLst/>
          </c:spPr>
          <c:marker>
            <c:symbol val="none"/>
          </c:marker>
          <c:cat>
            <c:strRef>
              <c:f>pivot!$N$4:$N$16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pivot!$O$4:$O$16</c:f>
              <c:numCache>
                <c:formatCode>0</c:formatCode>
                <c:ptCount val="12"/>
                <c:pt idx="0">
                  <c:v>24528.94</c:v>
                </c:pt>
                <c:pt idx="1">
                  <c:v>15451.27</c:v>
                </c:pt>
                <c:pt idx="2">
                  <c:v>17672.21</c:v>
                </c:pt>
                <c:pt idx="3">
                  <c:v>25578.950000000004</c:v>
                </c:pt>
                <c:pt idx="4">
                  <c:v>20630.37</c:v>
                </c:pt>
                <c:pt idx="5">
                  <c:v>17614.050000000003</c:v>
                </c:pt>
                <c:pt idx="6">
                  <c:v>15549.45</c:v>
                </c:pt>
                <c:pt idx="7">
                  <c:v>13249.36</c:v>
                </c:pt>
                <c:pt idx="8">
                  <c:v>33596.710000000006</c:v>
                </c:pt>
                <c:pt idx="9">
                  <c:v>10508.74</c:v>
                </c:pt>
                <c:pt idx="10">
                  <c:v>9270.7799999999988</c:v>
                </c:pt>
                <c:pt idx="11">
                  <c:v>5120.4799999999996</c:v>
                </c:pt>
              </c:numCache>
            </c:numRef>
          </c:val>
          <c:smooth val="1"/>
          <c:extLst>
            <c:ext xmlns:c16="http://schemas.microsoft.com/office/drawing/2014/chart" uri="{C3380CC4-5D6E-409C-BE32-E72D297353CC}">
              <c16:uniqueId val="{00000000-AEE5-4288-A6B7-9E488EFB3BE6}"/>
            </c:ext>
          </c:extLst>
        </c:ser>
        <c:dLbls>
          <c:showLegendKey val="0"/>
          <c:showVal val="0"/>
          <c:showCatName val="0"/>
          <c:showSerName val="0"/>
          <c:showPercent val="0"/>
          <c:showBubbleSize val="0"/>
        </c:dLbls>
        <c:smooth val="0"/>
        <c:axId val="1876808527"/>
        <c:axId val="1868360367"/>
      </c:lineChart>
      <c:catAx>
        <c:axId val="187680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868360367"/>
        <c:crosses val="autoZero"/>
        <c:auto val="1"/>
        <c:lblAlgn val="ctr"/>
        <c:lblOffset val="100"/>
        <c:noMultiLvlLbl val="0"/>
      </c:catAx>
      <c:valAx>
        <c:axId val="1868360367"/>
        <c:scaling>
          <c:orientation val="minMax"/>
        </c:scaling>
        <c:delete val="0"/>
        <c:axPos val="l"/>
        <c:majorGridlines>
          <c:spPr>
            <a:ln w="9525" cap="flat" cmpd="sng" algn="ctr">
              <a:solidFill>
                <a:schemeClr val="accent6">
                  <a:lumMod val="50000"/>
                  <a:alpha val="32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6808527"/>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73881313616286"/>
          <c:y val="0.14211774623062629"/>
          <c:w val="0.70735164202035716"/>
          <c:h val="0.84675671015575604"/>
        </c:manualLayout>
      </c:layout>
      <c:doughnutChart>
        <c:varyColors val="1"/>
        <c:ser>
          <c:idx val="0"/>
          <c:order val="0"/>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C3C9-4F40-898E-0A2B8B33EABC}"/>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C3C9-4F40-898E-0A2B8B33EA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C9-4F40-898E-0A2B8B33EABC}"/>
              </c:ext>
            </c:extLst>
          </c:dPt>
          <c:dLbls>
            <c:dLbl>
              <c:idx val="0"/>
              <c:layout>
                <c:manualLayout>
                  <c:x val="0.16460916017572985"/>
                  <c:y val="-8.7591240875912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C9-4F40-898E-0A2B8B33EABC}"/>
                </c:ext>
              </c:extLst>
            </c:dLbl>
            <c:dLbl>
              <c:idx val="1"/>
              <c:layout>
                <c:manualLayout>
                  <c:x val="0.32098786234267351"/>
                  <c:y val="9.73236009732360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C9-4F40-898E-0A2B8B33EABC}"/>
                </c:ext>
              </c:extLst>
            </c:dLbl>
            <c:dLbl>
              <c:idx val="2"/>
              <c:layout>
                <c:manualLayout>
                  <c:x val="-0.1399177861493705"/>
                  <c:y val="-0.107055961070559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C9-4F40-898E-0A2B8B33EA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pivot!$T$10:$T$12</c:f>
              <c:strCache>
                <c:ptCount val="3"/>
                <c:pt idx="0">
                  <c:v>Cancelled</c:v>
                </c:pt>
                <c:pt idx="1">
                  <c:v>Completed</c:v>
                </c:pt>
                <c:pt idx="2">
                  <c:v>Pending</c:v>
                </c:pt>
              </c:strCache>
            </c:strRef>
          </c:cat>
          <c:val>
            <c:numRef>
              <c:f>pivot!$U$10:$U$12</c:f>
              <c:numCache>
                <c:formatCode>General</c:formatCode>
                <c:ptCount val="3"/>
                <c:pt idx="0">
                  <c:v>37</c:v>
                </c:pt>
                <c:pt idx="1">
                  <c:v>71</c:v>
                </c:pt>
                <c:pt idx="2">
                  <c:v>42</c:v>
                </c:pt>
              </c:numCache>
            </c:numRef>
          </c:val>
          <c:extLst>
            <c:ext xmlns:c16="http://schemas.microsoft.com/office/drawing/2014/chart" uri="{C3380CC4-5D6E-409C-BE32-E72D297353CC}">
              <c16:uniqueId val="{00000006-C3C9-4F40-898E-0A2B8B33EABC}"/>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t"/>
      <c:layout>
        <c:manualLayout>
          <c:xMode val="edge"/>
          <c:yMode val="edge"/>
          <c:x val="1.747967479674797E-2"/>
          <c:y val="3.1461578251623649E-2"/>
          <c:w val="0.9"/>
          <c:h val="0.1212532395714686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3.xml"/><Relationship Id="rId18" Type="http://schemas.openxmlformats.org/officeDocument/2006/relationships/image" Target="../media/image2.sv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2.xml"/><Relationship Id="rId17" Type="http://schemas.openxmlformats.org/officeDocument/2006/relationships/image" Target="../media/image1.png"/><Relationship Id="rId2" Type="http://schemas.openxmlformats.org/officeDocument/2006/relationships/image" Target="../media/image4.svg"/><Relationship Id="rId16" Type="http://schemas.openxmlformats.org/officeDocument/2006/relationships/hyperlink" Target="#'Data Table'!A1"/><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1.xml"/><Relationship Id="rId5" Type="http://schemas.openxmlformats.org/officeDocument/2006/relationships/image" Target="../media/image7.png"/><Relationship Id="rId15" Type="http://schemas.openxmlformats.org/officeDocument/2006/relationships/image" Target="../media/image14.svg"/><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10</xdr:col>
      <xdr:colOff>428624</xdr:colOff>
      <xdr:row>0</xdr:row>
      <xdr:rowOff>95250</xdr:rowOff>
    </xdr:from>
    <xdr:to>
      <xdr:col>11</xdr:col>
      <xdr:colOff>628649</xdr:colOff>
      <xdr:row>2</xdr:row>
      <xdr:rowOff>57150</xdr:rowOff>
    </xdr:to>
    <xdr:grpSp>
      <xdr:nvGrpSpPr>
        <xdr:cNvPr id="5" name="Group 4">
          <a:hlinkClick xmlns:r="http://schemas.openxmlformats.org/officeDocument/2006/relationships" r:id="rId1"/>
          <a:extLst>
            <a:ext uri="{FF2B5EF4-FFF2-40B4-BE49-F238E27FC236}">
              <a16:creationId xmlns:a16="http://schemas.microsoft.com/office/drawing/2014/main" id="{9199D371-5015-4DA0-A0B1-164D923CDE02}"/>
            </a:ext>
          </a:extLst>
        </xdr:cNvPr>
        <xdr:cNvGrpSpPr/>
      </xdr:nvGrpSpPr>
      <xdr:grpSpPr>
        <a:xfrm>
          <a:off x="10667999" y="95250"/>
          <a:ext cx="1552575" cy="323850"/>
          <a:chOff x="11068049" y="57150"/>
          <a:chExt cx="1552575" cy="323850"/>
        </a:xfrm>
      </xdr:grpSpPr>
      <xdr:sp macro="" textlink="">
        <xdr:nvSpPr>
          <xdr:cNvPr id="2" name="Rectangle: Rounded Corners 1">
            <a:extLst>
              <a:ext uri="{FF2B5EF4-FFF2-40B4-BE49-F238E27FC236}">
                <a16:creationId xmlns:a16="http://schemas.microsoft.com/office/drawing/2014/main" id="{89B0BB2F-ADD2-4AA8-8236-87AEDB24EBAA}"/>
              </a:ext>
            </a:extLst>
          </xdr:cNvPr>
          <xdr:cNvSpPr/>
        </xdr:nvSpPr>
        <xdr:spPr>
          <a:xfrm>
            <a:off x="11068049" y="76200"/>
            <a:ext cx="1552575" cy="2476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ysClr val="windowText" lastClr="000000"/>
                </a:solidFill>
              </a:rPr>
              <a:t>DASHBAOARD</a:t>
            </a:r>
            <a:endParaRPr lang="en-IN" sz="1200">
              <a:solidFill>
                <a:sysClr val="windowText" lastClr="000000"/>
              </a:solidFill>
            </a:endParaRPr>
          </a:p>
        </xdr:txBody>
      </xdr:sp>
      <xdr:pic>
        <xdr:nvPicPr>
          <xdr:cNvPr id="4" name="Graphic 3" descr="Arrow Slight curve">
            <a:extLst>
              <a:ext uri="{FF2B5EF4-FFF2-40B4-BE49-F238E27FC236}">
                <a16:creationId xmlns:a16="http://schemas.microsoft.com/office/drawing/2014/main" id="{90A9F4CF-8562-447D-9BD9-DD9FB54B6C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220575" y="57150"/>
            <a:ext cx="323850" cy="32385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0</xdr:row>
      <xdr:rowOff>28574</xdr:rowOff>
    </xdr:from>
    <xdr:to>
      <xdr:col>13</xdr:col>
      <xdr:colOff>533400</xdr:colOff>
      <xdr:row>23</xdr:row>
      <xdr:rowOff>38101</xdr:rowOff>
    </xdr:to>
    <xdr:sp macro="" textlink="">
      <xdr:nvSpPr>
        <xdr:cNvPr id="2" name="Rectangle: Rounded Corners 1">
          <a:extLst>
            <a:ext uri="{FF2B5EF4-FFF2-40B4-BE49-F238E27FC236}">
              <a16:creationId xmlns:a16="http://schemas.microsoft.com/office/drawing/2014/main" id="{4200F757-8A43-41FD-AC3C-654F215820AC}"/>
            </a:ext>
          </a:extLst>
        </xdr:cNvPr>
        <xdr:cNvSpPr/>
      </xdr:nvSpPr>
      <xdr:spPr>
        <a:xfrm>
          <a:off x="28576" y="28574"/>
          <a:ext cx="9420224" cy="4171952"/>
        </a:xfrm>
        <a:prstGeom prst="roundRect">
          <a:avLst>
            <a:gd name="adj" fmla="val 3041"/>
          </a:avLst>
        </a:prstGeom>
        <a:solidFill>
          <a:schemeClr val="bg1"/>
        </a:solidFill>
        <a:ln>
          <a:noFill/>
        </a:ln>
        <a:effectLst>
          <a:outerShdw blurRad="304800" dist="38100" dir="2700000" algn="tl" rotWithShape="0">
            <a:prstClr val="black">
              <a:alpha val="7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28572</xdr:rowOff>
    </xdr:from>
    <xdr:to>
      <xdr:col>1</xdr:col>
      <xdr:colOff>523875</xdr:colOff>
      <xdr:row>23</xdr:row>
      <xdr:rowOff>47622</xdr:rowOff>
    </xdr:to>
    <xdr:sp macro="" textlink="">
      <xdr:nvSpPr>
        <xdr:cNvPr id="3" name="Rectangle: Top Corners Rounded 2">
          <a:extLst>
            <a:ext uri="{FF2B5EF4-FFF2-40B4-BE49-F238E27FC236}">
              <a16:creationId xmlns:a16="http://schemas.microsoft.com/office/drawing/2014/main" id="{C8FA7FC5-53D4-4061-A3C8-55D997E87E90}"/>
            </a:ext>
          </a:extLst>
        </xdr:cNvPr>
        <xdr:cNvSpPr/>
      </xdr:nvSpPr>
      <xdr:spPr>
        <a:xfrm rot="16200000">
          <a:off x="-1466850" y="1533522"/>
          <a:ext cx="4181475" cy="1171575"/>
        </a:xfrm>
        <a:prstGeom prst="round2SameRect">
          <a:avLst>
            <a:gd name="adj1" fmla="val 12602"/>
            <a:gd name="adj2" fmla="val 0"/>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647700</xdr:colOff>
      <xdr:row>4</xdr:row>
      <xdr:rowOff>47625</xdr:rowOff>
    </xdr:from>
    <xdr:to>
      <xdr:col>3</xdr:col>
      <xdr:colOff>476250</xdr:colOff>
      <xdr:row>7</xdr:row>
      <xdr:rowOff>66675</xdr:rowOff>
    </xdr:to>
    <xdr:sp macro="" textlink="">
      <xdr:nvSpPr>
        <xdr:cNvPr id="4" name="Rectangle: Rounded Corners 3">
          <a:extLst>
            <a:ext uri="{FF2B5EF4-FFF2-40B4-BE49-F238E27FC236}">
              <a16:creationId xmlns:a16="http://schemas.microsoft.com/office/drawing/2014/main" id="{EBEB61C7-9659-4025-8E91-F317AE540D45}"/>
            </a:ext>
          </a:extLst>
        </xdr:cNvPr>
        <xdr:cNvSpPr/>
      </xdr:nvSpPr>
      <xdr:spPr>
        <a:xfrm>
          <a:off x="1333500" y="771525"/>
          <a:ext cx="1200150" cy="561975"/>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619125</xdr:colOff>
      <xdr:row>4</xdr:row>
      <xdr:rowOff>47625</xdr:rowOff>
    </xdr:from>
    <xdr:to>
      <xdr:col>5</xdr:col>
      <xdr:colOff>447675</xdr:colOff>
      <xdr:row>7</xdr:row>
      <xdr:rowOff>66675</xdr:rowOff>
    </xdr:to>
    <xdr:sp macro="" textlink="">
      <xdr:nvSpPr>
        <xdr:cNvPr id="5" name="Rectangle: Rounded Corners 4">
          <a:extLst>
            <a:ext uri="{FF2B5EF4-FFF2-40B4-BE49-F238E27FC236}">
              <a16:creationId xmlns:a16="http://schemas.microsoft.com/office/drawing/2014/main" id="{AEF2474C-2938-42EF-BAFA-D75A45FD520A}"/>
            </a:ext>
          </a:extLst>
        </xdr:cNvPr>
        <xdr:cNvSpPr/>
      </xdr:nvSpPr>
      <xdr:spPr>
        <a:xfrm>
          <a:off x="2676525" y="771525"/>
          <a:ext cx="1200150" cy="561975"/>
        </a:xfrm>
        <a:prstGeom prst="roundRect">
          <a:avLst/>
        </a:prstGeom>
        <a:noFill/>
        <a:ln w="190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590550</xdr:colOff>
      <xdr:row>4</xdr:row>
      <xdr:rowOff>57150</xdr:rowOff>
    </xdr:from>
    <xdr:to>
      <xdr:col>7</xdr:col>
      <xdr:colOff>419100</xdr:colOff>
      <xdr:row>7</xdr:row>
      <xdr:rowOff>76200</xdr:rowOff>
    </xdr:to>
    <xdr:sp macro="" textlink="">
      <xdr:nvSpPr>
        <xdr:cNvPr id="12" name="Rectangle: Rounded Corners 11">
          <a:extLst>
            <a:ext uri="{FF2B5EF4-FFF2-40B4-BE49-F238E27FC236}">
              <a16:creationId xmlns:a16="http://schemas.microsoft.com/office/drawing/2014/main" id="{FE35F189-D16F-4D3E-8954-3019CCCA4C61}"/>
            </a:ext>
          </a:extLst>
        </xdr:cNvPr>
        <xdr:cNvSpPr/>
      </xdr:nvSpPr>
      <xdr:spPr>
        <a:xfrm>
          <a:off x="4019550" y="781050"/>
          <a:ext cx="1200150" cy="561975"/>
        </a:xfrm>
        <a:prstGeom prst="roundRect">
          <a:avLst/>
        </a:prstGeom>
        <a:noFill/>
        <a:ln w="190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561975</xdr:colOff>
      <xdr:row>4</xdr:row>
      <xdr:rowOff>57150</xdr:rowOff>
    </xdr:from>
    <xdr:to>
      <xdr:col>9</xdr:col>
      <xdr:colOff>390525</xdr:colOff>
      <xdr:row>7</xdr:row>
      <xdr:rowOff>76200</xdr:rowOff>
    </xdr:to>
    <xdr:sp macro="" textlink="">
      <xdr:nvSpPr>
        <xdr:cNvPr id="13" name="Rectangle: Rounded Corners 12">
          <a:extLst>
            <a:ext uri="{FF2B5EF4-FFF2-40B4-BE49-F238E27FC236}">
              <a16:creationId xmlns:a16="http://schemas.microsoft.com/office/drawing/2014/main" id="{B369A84F-A22B-41DC-9104-F8EA406FFB1A}"/>
            </a:ext>
          </a:extLst>
        </xdr:cNvPr>
        <xdr:cNvSpPr/>
      </xdr:nvSpPr>
      <xdr:spPr>
        <a:xfrm>
          <a:off x="5362575" y="781050"/>
          <a:ext cx="1200150" cy="561975"/>
        </a:xfrm>
        <a:prstGeom prst="roundRect">
          <a:avLst/>
        </a:prstGeom>
        <a:noFill/>
        <a:ln w="190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533400</xdr:colOff>
      <xdr:row>4</xdr:row>
      <xdr:rowOff>57150</xdr:rowOff>
    </xdr:from>
    <xdr:to>
      <xdr:col>11</xdr:col>
      <xdr:colOff>361950</xdr:colOff>
      <xdr:row>7</xdr:row>
      <xdr:rowOff>76200</xdr:rowOff>
    </xdr:to>
    <xdr:sp macro="" textlink="">
      <xdr:nvSpPr>
        <xdr:cNvPr id="14" name="Rectangle: Rounded Corners 13">
          <a:extLst>
            <a:ext uri="{FF2B5EF4-FFF2-40B4-BE49-F238E27FC236}">
              <a16:creationId xmlns:a16="http://schemas.microsoft.com/office/drawing/2014/main" id="{9C2EB85B-65F4-4CF7-93D6-3DED82E8D170}"/>
            </a:ext>
          </a:extLst>
        </xdr:cNvPr>
        <xdr:cNvSpPr/>
      </xdr:nvSpPr>
      <xdr:spPr>
        <a:xfrm>
          <a:off x="6705600" y="781050"/>
          <a:ext cx="1200150" cy="561975"/>
        </a:xfrm>
        <a:prstGeom prst="roundRect">
          <a:avLst/>
        </a:prstGeom>
        <a:noFill/>
        <a:ln w="190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533399</xdr:colOff>
      <xdr:row>4</xdr:row>
      <xdr:rowOff>47625</xdr:rowOff>
    </xdr:from>
    <xdr:to>
      <xdr:col>3</xdr:col>
      <xdr:colOff>542924</xdr:colOff>
      <xdr:row>7</xdr:row>
      <xdr:rowOff>28575</xdr:rowOff>
    </xdr:to>
    <xdr:sp macro="" textlink="pivot!$C$8">
      <xdr:nvSpPr>
        <xdr:cNvPr id="15" name="TextBox 14">
          <a:extLst>
            <a:ext uri="{FF2B5EF4-FFF2-40B4-BE49-F238E27FC236}">
              <a16:creationId xmlns:a16="http://schemas.microsoft.com/office/drawing/2014/main" id="{A4DAAF6A-788F-4FDB-84C0-C728FF88F87C}"/>
            </a:ext>
          </a:extLst>
        </xdr:cNvPr>
        <xdr:cNvSpPr txBox="1"/>
      </xdr:nvSpPr>
      <xdr:spPr>
        <a:xfrm>
          <a:off x="1219199" y="771525"/>
          <a:ext cx="1381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28709A-8A4D-43A1-BE11-B7536C685788}" type="TxLink">
            <a:rPr lang="en-US" sz="2400" b="1" i="0" u="none" strike="noStrike">
              <a:solidFill>
                <a:schemeClr val="bg1"/>
              </a:solidFill>
              <a:latin typeface="kulim"/>
            </a:rPr>
            <a:pPr algn="ctr"/>
            <a:t> ₹ 8,037 </a:t>
          </a:fld>
          <a:endParaRPr lang="en-IN" sz="2400" b="1">
            <a:solidFill>
              <a:schemeClr val="bg1"/>
            </a:solidFill>
            <a:latin typeface="kulim"/>
          </a:endParaRPr>
        </a:p>
      </xdr:txBody>
    </xdr:sp>
    <xdr:clientData/>
  </xdr:twoCellAnchor>
  <xdr:twoCellAnchor>
    <xdr:from>
      <xdr:col>2</xdr:col>
      <xdr:colOff>0</xdr:colOff>
      <xdr:row>6</xdr:row>
      <xdr:rowOff>19050</xdr:rowOff>
    </xdr:from>
    <xdr:to>
      <xdr:col>3</xdr:col>
      <xdr:colOff>409576</xdr:colOff>
      <xdr:row>7</xdr:row>
      <xdr:rowOff>114300</xdr:rowOff>
    </xdr:to>
    <xdr:sp macro="" textlink="">
      <xdr:nvSpPr>
        <xdr:cNvPr id="16" name="TextBox 15">
          <a:extLst>
            <a:ext uri="{FF2B5EF4-FFF2-40B4-BE49-F238E27FC236}">
              <a16:creationId xmlns:a16="http://schemas.microsoft.com/office/drawing/2014/main" id="{4F492D3F-BE7E-4F1F-8040-20F24262FC96}"/>
            </a:ext>
          </a:extLst>
        </xdr:cNvPr>
        <xdr:cNvSpPr txBox="1"/>
      </xdr:nvSpPr>
      <xdr:spPr>
        <a:xfrm>
          <a:off x="1371600" y="1104900"/>
          <a:ext cx="10953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bg1"/>
              </a:solidFill>
              <a:latin typeface="kulim"/>
            </a:rPr>
            <a:t> Total</a:t>
          </a:r>
          <a:r>
            <a:rPr lang="en-US" sz="1000" b="0" i="0" u="none" strike="noStrike" baseline="0">
              <a:solidFill>
                <a:schemeClr val="bg1"/>
              </a:solidFill>
              <a:latin typeface="kulim"/>
            </a:rPr>
            <a:t> Profit</a:t>
          </a:r>
          <a:r>
            <a:rPr lang="en-US" sz="1000" b="0" i="0" u="none" strike="noStrike">
              <a:solidFill>
                <a:schemeClr val="bg1"/>
              </a:solidFill>
              <a:latin typeface="kulim"/>
            </a:rPr>
            <a:t> </a:t>
          </a:r>
        </a:p>
      </xdr:txBody>
    </xdr:sp>
    <xdr:clientData/>
  </xdr:twoCellAnchor>
  <xdr:twoCellAnchor>
    <xdr:from>
      <xdr:col>3</xdr:col>
      <xdr:colOff>457199</xdr:colOff>
      <xdr:row>4</xdr:row>
      <xdr:rowOff>28575</xdr:rowOff>
    </xdr:from>
    <xdr:to>
      <xdr:col>5</xdr:col>
      <xdr:colOff>466724</xdr:colOff>
      <xdr:row>7</xdr:row>
      <xdr:rowOff>9525</xdr:rowOff>
    </xdr:to>
    <xdr:sp macro="" textlink="pivot!$C$4">
      <xdr:nvSpPr>
        <xdr:cNvPr id="19" name="TextBox 18">
          <a:extLst>
            <a:ext uri="{FF2B5EF4-FFF2-40B4-BE49-F238E27FC236}">
              <a16:creationId xmlns:a16="http://schemas.microsoft.com/office/drawing/2014/main" id="{3EA69EFF-591F-4CD8-9527-1FFBAFE2F38C}"/>
            </a:ext>
          </a:extLst>
        </xdr:cNvPr>
        <xdr:cNvSpPr txBox="1"/>
      </xdr:nvSpPr>
      <xdr:spPr>
        <a:xfrm>
          <a:off x="2514599" y="752475"/>
          <a:ext cx="1381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119C7F-35F5-4E27-98C2-87BB033D4567}" type="TxLink">
            <a:rPr lang="en-US" sz="2400" b="1" i="0" u="none" strike="noStrike">
              <a:solidFill>
                <a:schemeClr val="tx1"/>
              </a:solidFill>
              <a:latin typeface="kulim"/>
              <a:ea typeface="+mn-ea"/>
              <a:cs typeface="+mn-cs"/>
            </a:rPr>
            <a:pPr marL="0" indent="0" algn="ctr"/>
            <a:t> ₹ 2,101 </a:t>
          </a:fld>
          <a:endParaRPr lang="en-IN" sz="2400" b="1" i="0" u="none" strike="noStrike">
            <a:solidFill>
              <a:schemeClr val="tx1"/>
            </a:solidFill>
            <a:latin typeface="kulim"/>
            <a:ea typeface="+mn-ea"/>
            <a:cs typeface="+mn-cs"/>
          </a:endParaRPr>
        </a:p>
      </xdr:txBody>
    </xdr:sp>
    <xdr:clientData/>
  </xdr:twoCellAnchor>
  <xdr:twoCellAnchor>
    <xdr:from>
      <xdr:col>3</xdr:col>
      <xdr:colOff>533399</xdr:colOff>
      <xdr:row>6</xdr:row>
      <xdr:rowOff>0</xdr:rowOff>
    </xdr:from>
    <xdr:to>
      <xdr:col>5</xdr:col>
      <xdr:colOff>542924</xdr:colOff>
      <xdr:row>7</xdr:row>
      <xdr:rowOff>95250</xdr:rowOff>
    </xdr:to>
    <xdr:sp macro="" textlink="">
      <xdr:nvSpPr>
        <xdr:cNvPr id="20" name="TextBox 19">
          <a:extLst>
            <a:ext uri="{FF2B5EF4-FFF2-40B4-BE49-F238E27FC236}">
              <a16:creationId xmlns:a16="http://schemas.microsoft.com/office/drawing/2014/main" id="{B75258D1-D0B5-4E53-BECE-A60C7CA11F25}"/>
            </a:ext>
          </a:extLst>
        </xdr:cNvPr>
        <xdr:cNvSpPr txBox="1"/>
      </xdr:nvSpPr>
      <xdr:spPr>
        <a:xfrm>
          <a:off x="2590799" y="1085850"/>
          <a:ext cx="1381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kulim"/>
            </a:rPr>
            <a:t> East</a:t>
          </a:r>
          <a:r>
            <a:rPr lang="en-US" sz="1000" b="0" i="0" u="none" strike="noStrike" baseline="0">
              <a:solidFill>
                <a:schemeClr val="tx1"/>
              </a:solidFill>
              <a:latin typeface="kulim"/>
            </a:rPr>
            <a:t> Region</a:t>
          </a:r>
          <a:endParaRPr lang="en-US" sz="1000" b="0" i="0" u="none" strike="noStrike">
            <a:solidFill>
              <a:schemeClr val="tx1"/>
            </a:solidFill>
            <a:latin typeface="kulim"/>
          </a:endParaRPr>
        </a:p>
      </xdr:txBody>
    </xdr:sp>
    <xdr:clientData/>
  </xdr:twoCellAnchor>
  <xdr:twoCellAnchor>
    <xdr:from>
      <xdr:col>5</xdr:col>
      <xdr:colOff>476249</xdr:colOff>
      <xdr:row>4</xdr:row>
      <xdr:rowOff>38100</xdr:rowOff>
    </xdr:from>
    <xdr:to>
      <xdr:col>7</xdr:col>
      <xdr:colOff>485774</xdr:colOff>
      <xdr:row>7</xdr:row>
      <xdr:rowOff>19050</xdr:rowOff>
    </xdr:to>
    <xdr:sp macro="" textlink="pivot!$C$7">
      <xdr:nvSpPr>
        <xdr:cNvPr id="21" name="TextBox 20">
          <a:extLst>
            <a:ext uri="{FF2B5EF4-FFF2-40B4-BE49-F238E27FC236}">
              <a16:creationId xmlns:a16="http://schemas.microsoft.com/office/drawing/2014/main" id="{EF7DB3DC-2915-4E6F-9A64-76EA2C603226}"/>
            </a:ext>
          </a:extLst>
        </xdr:cNvPr>
        <xdr:cNvSpPr txBox="1"/>
      </xdr:nvSpPr>
      <xdr:spPr>
        <a:xfrm>
          <a:off x="3905249" y="762000"/>
          <a:ext cx="1381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3C0D93-54DD-4EB8-A1BD-2DEC43745904}" type="TxLink">
            <a:rPr lang="en-US" sz="2400" b="1" i="0" u="none" strike="noStrike">
              <a:solidFill>
                <a:schemeClr val="tx1"/>
              </a:solidFill>
              <a:latin typeface="kulim"/>
              <a:ea typeface="+mn-ea"/>
              <a:cs typeface="+mn-cs"/>
            </a:rPr>
            <a:pPr marL="0" indent="0" algn="ctr"/>
            <a:t> ₹ 1,624 </a:t>
          </a:fld>
          <a:endParaRPr lang="en-US" sz="2400" b="1" i="0" u="none" strike="noStrike">
            <a:solidFill>
              <a:schemeClr val="tx1"/>
            </a:solidFill>
            <a:latin typeface="kulim"/>
            <a:ea typeface="+mn-ea"/>
            <a:cs typeface="+mn-cs"/>
          </a:endParaRPr>
        </a:p>
      </xdr:txBody>
    </xdr:sp>
    <xdr:clientData/>
  </xdr:twoCellAnchor>
  <xdr:twoCellAnchor>
    <xdr:from>
      <xdr:col>5</xdr:col>
      <xdr:colOff>514349</xdr:colOff>
      <xdr:row>6</xdr:row>
      <xdr:rowOff>9525</xdr:rowOff>
    </xdr:from>
    <xdr:to>
      <xdr:col>7</xdr:col>
      <xdr:colOff>523874</xdr:colOff>
      <xdr:row>7</xdr:row>
      <xdr:rowOff>104775</xdr:rowOff>
    </xdr:to>
    <xdr:sp macro="" textlink="">
      <xdr:nvSpPr>
        <xdr:cNvPr id="22" name="TextBox 21">
          <a:extLst>
            <a:ext uri="{FF2B5EF4-FFF2-40B4-BE49-F238E27FC236}">
              <a16:creationId xmlns:a16="http://schemas.microsoft.com/office/drawing/2014/main" id="{BEF43DB5-2E98-4B45-8E19-DB20803F5947}"/>
            </a:ext>
          </a:extLst>
        </xdr:cNvPr>
        <xdr:cNvSpPr txBox="1"/>
      </xdr:nvSpPr>
      <xdr:spPr>
        <a:xfrm>
          <a:off x="3943349" y="1095375"/>
          <a:ext cx="1381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kulim"/>
            </a:rPr>
            <a:t> West</a:t>
          </a:r>
          <a:r>
            <a:rPr lang="en-US" sz="1000" b="0" i="0" u="none" strike="noStrike" baseline="0">
              <a:solidFill>
                <a:schemeClr val="tx1"/>
              </a:solidFill>
              <a:latin typeface="kulim"/>
            </a:rPr>
            <a:t> Region</a:t>
          </a:r>
          <a:endParaRPr lang="en-US" sz="1000" b="0" i="0" u="none" strike="noStrike">
            <a:solidFill>
              <a:schemeClr val="tx1"/>
            </a:solidFill>
            <a:latin typeface="kulim"/>
          </a:endParaRPr>
        </a:p>
      </xdr:txBody>
    </xdr:sp>
    <xdr:clientData/>
  </xdr:twoCellAnchor>
  <xdr:twoCellAnchor>
    <xdr:from>
      <xdr:col>7</xdr:col>
      <xdr:colOff>438149</xdr:colOff>
      <xdr:row>4</xdr:row>
      <xdr:rowOff>19050</xdr:rowOff>
    </xdr:from>
    <xdr:to>
      <xdr:col>9</xdr:col>
      <xdr:colOff>447674</xdr:colOff>
      <xdr:row>7</xdr:row>
      <xdr:rowOff>0</xdr:rowOff>
    </xdr:to>
    <xdr:sp macro="" textlink="pivot!$C$5">
      <xdr:nvSpPr>
        <xdr:cNvPr id="23" name="TextBox 22">
          <a:extLst>
            <a:ext uri="{FF2B5EF4-FFF2-40B4-BE49-F238E27FC236}">
              <a16:creationId xmlns:a16="http://schemas.microsoft.com/office/drawing/2014/main" id="{6C66F56E-8119-4643-A2CB-9A9C5A541397}"/>
            </a:ext>
          </a:extLst>
        </xdr:cNvPr>
        <xdr:cNvSpPr txBox="1"/>
      </xdr:nvSpPr>
      <xdr:spPr>
        <a:xfrm>
          <a:off x="5238749" y="742950"/>
          <a:ext cx="1381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0A59A2-4D9A-4148-AF1D-5E445CD22F65}" type="TxLink">
            <a:rPr lang="en-US" sz="2400" b="1" i="0" u="none" strike="noStrike">
              <a:solidFill>
                <a:schemeClr val="tx1"/>
              </a:solidFill>
              <a:latin typeface="kulim"/>
              <a:ea typeface="+mn-ea"/>
              <a:cs typeface="+mn-cs"/>
            </a:rPr>
            <a:pPr marL="0" indent="0" algn="ctr"/>
            <a:t> ₹ 2,145 </a:t>
          </a:fld>
          <a:endParaRPr lang="en-US" sz="2400" b="1" i="0" u="none" strike="noStrike">
            <a:solidFill>
              <a:schemeClr val="tx1"/>
            </a:solidFill>
            <a:latin typeface="kulim"/>
            <a:ea typeface="+mn-ea"/>
            <a:cs typeface="+mn-cs"/>
          </a:endParaRPr>
        </a:p>
      </xdr:txBody>
    </xdr:sp>
    <xdr:clientData/>
  </xdr:twoCellAnchor>
  <xdr:twoCellAnchor>
    <xdr:from>
      <xdr:col>7</xdr:col>
      <xdr:colOff>523874</xdr:colOff>
      <xdr:row>6</xdr:row>
      <xdr:rowOff>9525</xdr:rowOff>
    </xdr:from>
    <xdr:to>
      <xdr:col>9</xdr:col>
      <xdr:colOff>533399</xdr:colOff>
      <xdr:row>7</xdr:row>
      <xdr:rowOff>104775</xdr:rowOff>
    </xdr:to>
    <xdr:sp macro="" textlink="">
      <xdr:nvSpPr>
        <xdr:cNvPr id="24" name="TextBox 23">
          <a:extLst>
            <a:ext uri="{FF2B5EF4-FFF2-40B4-BE49-F238E27FC236}">
              <a16:creationId xmlns:a16="http://schemas.microsoft.com/office/drawing/2014/main" id="{40E89751-F083-4324-B692-165A5F549F6E}"/>
            </a:ext>
          </a:extLst>
        </xdr:cNvPr>
        <xdr:cNvSpPr txBox="1"/>
      </xdr:nvSpPr>
      <xdr:spPr>
        <a:xfrm>
          <a:off x="5324474" y="1095375"/>
          <a:ext cx="1381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kulim"/>
            </a:rPr>
            <a:t> North</a:t>
          </a:r>
          <a:r>
            <a:rPr lang="en-US" sz="1000" b="0" i="0" u="none" strike="noStrike" baseline="0">
              <a:solidFill>
                <a:schemeClr val="tx1"/>
              </a:solidFill>
              <a:latin typeface="kulim"/>
            </a:rPr>
            <a:t> Region</a:t>
          </a:r>
          <a:endParaRPr lang="en-US" sz="1000" b="0" i="0" u="none" strike="noStrike">
            <a:solidFill>
              <a:schemeClr val="tx1"/>
            </a:solidFill>
            <a:latin typeface="kulim"/>
          </a:endParaRPr>
        </a:p>
      </xdr:txBody>
    </xdr:sp>
    <xdr:clientData/>
  </xdr:twoCellAnchor>
  <xdr:twoCellAnchor>
    <xdr:from>
      <xdr:col>9</xdr:col>
      <xdr:colOff>409574</xdr:colOff>
      <xdr:row>4</xdr:row>
      <xdr:rowOff>38100</xdr:rowOff>
    </xdr:from>
    <xdr:to>
      <xdr:col>11</xdr:col>
      <xdr:colOff>419099</xdr:colOff>
      <xdr:row>7</xdr:row>
      <xdr:rowOff>19050</xdr:rowOff>
    </xdr:to>
    <xdr:sp macro="" textlink="pivot!$C$6">
      <xdr:nvSpPr>
        <xdr:cNvPr id="25" name="TextBox 24">
          <a:extLst>
            <a:ext uri="{FF2B5EF4-FFF2-40B4-BE49-F238E27FC236}">
              <a16:creationId xmlns:a16="http://schemas.microsoft.com/office/drawing/2014/main" id="{A8DB3581-9D91-4DC7-88A7-28F395CC35C0}"/>
            </a:ext>
          </a:extLst>
        </xdr:cNvPr>
        <xdr:cNvSpPr txBox="1"/>
      </xdr:nvSpPr>
      <xdr:spPr>
        <a:xfrm>
          <a:off x="6581774" y="762000"/>
          <a:ext cx="1381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CCBBCD-0704-4B94-96A0-1020F794DB6C}" type="TxLink">
            <a:rPr lang="en-US" sz="2400" b="1" i="0" u="none" strike="noStrike">
              <a:solidFill>
                <a:schemeClr val="tx1"/>
              </a:solidFill>
              <a:latin typeface="kulim"/>
              <a:ea typeface="+mn-ea"/>
              <a:cs typeface="+mn-cs"/>
            </a:rPr>
            <a:pPr marL="0" indent="0" algn="ctr"/>
            <a:t> ₹ 2,167 </a:t>
          </a:fld>
          <a:endParaRPr lang="en-US" sz="2400" b="1" i="0" u="none" strike="noStrike">
            <a:solidFill>
              <a:schemeClr val="tx1"/>
            </a:solidFill>
            <a:latin typeface="kulim"/>
            <a:ea typeface="+mn-ea"/>
            <a:cs typeface="+mn-cs"/>
          </a:endParaRPr>
        </a:p>
      </xdr:txBody>
    </xdr:sp>
    <xdr:clientData/>
  </xdr:twoCellAnchor>
  <xdr:twoCellAnchor>
    <xdr:from>
      <xdr:col>9</xdr:col>
      <xdr:colOff>438149</xdr:colOff>
      <xdr:row>6</xdr:row>
      <xdr:rowOff>19050</xdr:rowOff>
    </xdr:from>
    <xdr:to>
      <xdr:col>11</xdr:col>
      <xdr:colOff>447674</xdr:colOff>
      <xdr:row>7</xdr:row>
      <xdr:rowOff>114300</xdr:rowOff>
    </xdr:to>
    <xdr:sp macro="" textlink="">
      <xdr:nvSpPr>
        <xdr:cNvPr id="26" name="TextBox 25">
          <a:extLst>
            <a:ext uri="{FF2B5EF4-FFF2-40B4-BE49-F238E27FC236}">
              <a16:creationId xmlns:a16="http://schemas.microsoft.com/office/drawing/2014/main" id="{5D5051F7-71D1-42FC-B905-B670A51D9237}"/>
            </a:ext>
          </a:extLst>
        </xdr:cNvPr>
        <xdr:cNvSpPr txBox="1"/>
      </xdr:nvSpPr>
      <xdr:spPr>
        <a:xfrm>
          <a:off x="6610349" y="1104900"/>
          <a:ext cx="1381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kulim"/>
            </a:rPr>
            <a:t> South</a:t>
          </a:r>
          <a:r>
            <a:rPr lang="en-US" sz="1000" b="0" i="0" u="none" strike="noStrike" baseline="0">
              <a:solidFill>
                <a:schemeClr val="tx1"/>
              </a:solidFill>
              <a:latin typeface="kulim"/>
            </a:rPr>
            <a:t> Region</a:t>
          </a:r>
          <a:endParaRPr lang="en-US" sz="1000" b="0" i="0" u="none" strike="noStrike">
            <a:solidFill>
              <a:schemeClr val="tx1"/>
            </a:solidFill>
            <a:latin typeface="kulim"/>
          </a:endParaRPr>
        </a:p>
      </xdr:txBody>
    </xdr:sp>
    <xdr:clientData/>
  </xdr:twoCellAnchor>
  <xdr:twoCellAnchor>
    <xdr:from>
      <xdr:col>1</xdr:col>
      <xdr:colOff>266699</xdr:colOff>
      <xdr:row>0</xdr:row>
      <xdr:rowOff>0</xdr:rowOff>
    </xdr:from>
    <xdr:to>
      <xdr:col>4</xdr:col>
      <xdr:colOff>180975</xdr:colOff>
      <xdr:row>2</xdr:row>
      <xdr:rowOff>19050</xdr:rowOff>
    </xdr:to>
    <xdr:sp macro="" textlink="pivot!$C$4">
      <xdr:nvSpPr>
        <xdr:cNvPr id="27" name="TextBox 26">
          <a:extLst>
            <a:ext uri="{FF2B5EF4-FFF2-40B4-BE49-F238E27FC236}">
              <a16:creationId xmlns:a16="http://schemas.microsoft.com/office/drawing/2014/main" id="{18774E89-6642-4194-86C9-463440F08946}"/>
            </a:ext>
          </a:extLst>
        </xdr:cNvPr>
        <xdr:cNvSpPr txBox="1"/>
      </xdr:nvSpPr>
      <xdr:spPr>
        <a:xfrm>
          <a:off x="952499" y="0"/>
          <a:ext cx="19716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i="0" u="none" strike="noStrike">
              <a:solidFill>
                <a:schemeClr val="tx1"/>
              </a:solidFill>
              <a:latin typeface="Bahnschrift Condensed" panose="020B0502040204020203" pitchFamily="34" charset="0"/>
              <a:ea typeface="+mn-ea"/>
              <a:cs typeface="+mn-cs"/>
            </a:rPr>
            <a:t>SALES</a:t>
          </a:r>
          <a:r>
            <a:rPr lang="en-IN" sz="2000" b="1" i="0" u="none" strike="noStrike" baseline="0">
              <a:solidFill>
                <a:schemeClr val="tx1"/>
              </a:solidFill>
              <a:latin typeface="Bahnschrift Condensed" panose="020B0502040204020203" pitchFamily="34" charset="0"/>
              <a:ea typeface="+mn-ea"/>
              <a:cs typeface="+mn-cs"/>
            </a:rPr>
            <a:t> TRACKER</a:t>
          </a:r>
          <a:endParaRPr lang="en-IN" sz="2000" b="1" i="0" u="none" strike="noStrike">
            <a:solidFill>
              <a:schemeClr val="tx1"/>
            </a:solidFill>
            <a:latin typeface="Bahnschrift Condensed" panose="020B0502040204020203" pitchFamily="34" charset="0"/>
            <a:ea typeface="+mn-ea"/>
            <a:cs typeface="+mn-cs"/>
          </a:endParaRPr>
        </a:p>
      </xdr:txBody>
    </xdr:sp>
    <xdr:clientData/>
  </xdr:twoCellAnchor>
  <xdr:twoCellAnchor>
    <xdr:from>
      <xdr:col>1</xdr:col>
      <xdr:colOff>533400</xdr:colOff>
      <xdr:row>1</xdr:row>
      <xdr:rowOff>114300</xdr:rowOff>
    </xdr:from>
    <xdr:to>
      <xdr:col>13</xdr:col>
      <xdr:colOff>533400</xdr:colOff>
      <xdr:row>1</xdr:row>
      <xdr:rowOff>142875</xdr:rowOff>
    </xdr:to>
    <xdr:cxnSp macro="">
      <xdr:nvCxnSpPr>
        <xdr:cNvPr id="29" name="Straight Connector 28">
          <a:extLst>
            <a:ext uri="{FF2B5EF4-FFF2-40B4-BE49-F238E27FC236}">
              <a16:creationId xmlns:a16="http://schemas.microsoft.com/office/drawing/2014/main" id="{E336653B-5553-43E9-9916-3F79A453F1F7}"/>
            </a:ext>
          </a:extLst>
        </xdr:cNvPr>
        <xdr:cNvCxnSpPr/>
      </xdr:nvCxnSpPr>
      <xdr:spPr>
        <a:xfrm flipV="1">
          <a:off x="1219200" y="295275"/>
          <a:ext cx="8229600" cy="28575"/>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47624</xdr:colOff>
      <xdr:row>1</xdr:row>
      <xdr:rowOff>47625</xdr:rowOff>
    </xdr:from>
    <xdr:to>
      <xdr:col>3</xdr:col>
      <xdr:colOff>504825</xdr:colOff>
      <xdr:row>3</xdr:row>
      <xdr:rowOff>85725</xdr:rowOff>
    </xdr:to>
    <xdr:sp macro="" textlink="pivot!$C$4">
      <xdr:nvSpPr>
        <xdr:cNvPr id="31" name="TextBox 30">
          <a:extLst>
            <a:ext uri="{FF2B5EF4-FFF2-40B4-BE49-F238E27FC236}">
              <a16:creationId xmlns:a16="http://schemas.microsoft.com/office/drawing/2014/main" id="{B38D78E2-9213-4D19-AD75-A1EF7A69D5D0}"/>
            </a:ext>
          </a:extLst>
        </xdr:cNvPr>
        <xdr:cNvSpPr txBox="1"/>
      </xdr:nvSpPr>
      <xdr:spPr>
        <a:xfrm>
          <a:off x="733424" y="228600"/>
          <a:ext cx="1828801"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i="0" u="none" strike="noStrike">
              <a:solidFill>
                <a:schemeClr val="tx1"/>
              </a:solidFill>
              <a:latin typeface="Bahnschrift Condensed" panose="020B0502040204020203" pitchFamily="34" charset="0"/>
              <a:ea typeface="+mn-ea"/>
              <a:cs typeface="+mn-cs"/>
            </a:rPr>
            <a:t>DASHBOARD</a:t>
          </a:r>
        </a:p>
      </xdr:txBody>
    </xdr:sp>
    <xdr:clientData/>
  </xdr:twoCellAnchor>
  <xdr:twoCellAnchor>
    <xdr:from>
      <xdr:col>1</xdr:col>
      <xdr:colOff>238124</xdr:colOff>
      <xdr:row>2</xdr:row>
      <xdr:rowOff>28574</xdr:rowOff>
    </xdr:from>
    <xdr:to>
      <xdr:col>4</xdr:col>
      <xdr:colOff>19050</xdr:colOff>
      <xdr:row>4</xdr:row>
      <xdr:rowOff>38099</xdr:rowOff>
    </xdr:to>
    <xdr:sp macro="" textlink="pivot!$C$4">
      <xdr:nvSpPr>
        <xdr:cNvPr id="32" name="TextBox 31">
          <a:extLst>
            <a:ext uri="{FF2B5EF4-FFF2-40B4-BE49-F238E27FC236}">
              <a16:creationId xmlns:a16="http://schemas.microsoft.com/office/drawing/2014/main" id="{66071A25-D0B5-48D9-A6AF-4D4D33E03649}"/>
            </a:ext>
          </a:extLst>
        </xdr:cNvPr>
        <xdr:cNvSpPr txBox="1"/>
      </xdr:nvSpPr>
      <xdr:spPr>
        <a:xfrm>
          <a:off x="923924" y="390524"/>
          <a:ext cx="183832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b="0" i="0" u="none" strike="noStrike">
              <a:solidFill>
                <a:schemeClr val="tx1"/>
              </a:solidFill>
              <a:latin typeface="+mj-lt"/>
              <a:ea typeface="+mn-ea"/>
              <a:cs typeface="+mn-cs"/>
            </a:rPr>
            <a:t>For</a:t>
          </a:r>
          <a:r>
            <a:rPr lang="en-IN" sz="1000" b="0" i="0" u="none" strike="noStrike" baseline="0">
              <a:solidFill>
                <a:schemeClr val="tx1"/>
              </a:solidFill>
              <a:latin typeface="+mj-lt"/>
              <a:ea typeface="+mn-ea"/>
              <a:cs typeface="+mn-cs"/>
            </a:rPr>
            <a:t> Sales Department</a:t>
          </a:r>
          <a:endParaRPr lang="en-IN" sz="1000" b="0" i="0" u="none" strike="noStrike">
            <a:solidFill>
              <a:schemeClr val="tx1"/>
            </a:solidFill>
            <a:latin typeface="+mj-lt"/>
            <a:ea typeface="+mn-ea"/>
            <a:cs typeface="+mn-cs"/>
          </a:endParaRPr>
        </a:p>
      </xdr:txBody>
    </xdr:sp>
    <xdr:clientData/>
  </xdr:twoCellAnchor>
  <xdr:twoCellAnchor>
    <xdr:from>
      <xdr:col>1</xdr:col>
      <xdr:colOff>638175</xdr:colOff>
      <xdr:row>8</xdr:row>
      <xdr:rowOff>0</xdr:rowOff>
    </xdr:from>
    <xdr:to>
      <xdr:col>4</xdr:col>
      <xdr:colOff>190500</xdr:colOff>
      <xdr:row>10</xdr:row>
      <xdr:rowOff>95250</xdr:rowOff>
    </xdr:to>
    <xdr:sp macro="" textlink="">
      <xdr:nvSpPr>
        <xdr:cNvPr id="33" name="Rectangle: Rounded Corners 32">
          <a:extLst>
            <a:ext uri="{FF2B5EF4-FFF2-40B4-BE49-F238E27FC236}">
              <a16:creationId xmlns:a16="http://schemas.microsoft.com/office/drawing/2014/main" id="{E50437E1-2F22-49E5-9A24-2DA231573835}"/>
            </a:ext>
          </a:extLst>
        </xdr:cNvPr>
        <xdr:cNvSpPr/>
      </xdr:nvSpPr>
      <xdr:spPr>
        <a:xfrm>
          <a:off x="1323975" y="1447800"/>
          <a:ext cx="1609725" cy="457200"/>
        </a:xfrm>
        <a:prstGeom prst="roundRect">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533399</xdr:colOff>
      <xdr:row>7</xdr:row>
      <xdr:rowOff>152401</xdr:rowOff>
    </xdr:from>
    <xdr:to>
      <xdr:col>4</xdr:col>
      <xdr:colOff>114300</xdr:colOff>
      <xdr:row>10</xdr:row>
      <xdr:rowOff>9526</xdr:rowOff>
    </xdr:to>
    <xdr:sp macro="" textlink="pivot!$F$9">
      <xdr:nvSpPr>
        <xdr:cNvPr id="34" name="TextBox 33">
          <a:extLst>
            <a:ext uri="{FF2B5EF4-FFF2-40B4-BE49-F238E27FC236}">
              <a16:creationId xmlns:a16="http://schemas.microsoft.com/office/drawing/2014/main" id="{6443E94A-D6D5-450D-8AC7-6AB67F60AEFD}"/>
            </a:ext>
          </a:extLst>
        </xdr:cNvPr>
        <xdr:cNvSpPr txBox="1"/>
      </xdr:nvSpPr>
      <xdr:spPr>
        <a:xfrm>
          <a:off x="1219199" y="1419226"/>
          <a:ext cx="1638301"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B59882-757D-458C-8FA1-3CCDA5ED44F9}" type="TxLink">
            <a:rPr lang="en-US" sz="2400" b="1" i="0" u="none" strike="noStrike">
              <a:solidFill>
                <a:schemeClr val="tx1"/>
              </a:solidFill>
              <a:latin typeface="kulim"/>
              <a:ea typeface="+mn-ea"/>
              <a:cs typeface="+mn-cs"/>
            </a:rPr>
            <a:pPr marL="0" indent="0" algn="ctr"/>
            <a:t> ₹ 2,08,771 </a:t>
          </a:fld>
          <a:endParaRPr lang="en-IN" sz="2400" b="1" i="0" u="none" strike="noStrike">
            <a:solidFill>
              <a:schemeClr val="tx1"/>
            </a:solidFill>
            <a:latin typeface="kulim"/>
            <a:ea typeface="+mn-ea"/>
            <a:cs typeface="+mn-cs"/>
          </a:endParaRPr>
        </a:p>
      </xdr:txBody>
    </xdr:sp>
    <xdr:clientData/>
  </xdr:twoCellAnchor>
  <xdr:twoCellAnchor>
    <xdr:from>
      <xdr:col>2</xdr:col>
      <xdr:colOff>38099</xdr:colOff>
      <xdr:row>9</xdr:row>
      <xdr:rowOff>38100</xdr:rowOff>
    </xdr:from>
    <xdr:to>
      <xdr:col>4</xdr:col>
      <xdr:colOff>47624</xdr:colOff>
      <xdr:row>10</xdr:row>
      <xdr:rowOff>133350</xdr:rowOff>
    </xdr:to>
    <xdr:sp macro="" textlink="">
      <xdr:nvSpPr>
        <xdr:cNvPr id="35" name="TextBox 34">
          <a:extLst>
            <a:ext uri="{FF2B5EF4-FFF2-40B4-BE49-F238E27FC236}">
              <a16:creationId xmlns:a16="http://schemas.microsoft.com/office/drawing/2014/main" id="{FA32092E-EE5D-4F20-9164-013CC2E022E6}"/>
            </a:ext>
          </a:extLst>
        </xdr:cNvPr>
        <xdr:cNvSpPr txBox="1"/>
      </xdr:nvSpPr>
      <xdr:spPr>
        <a:xfrm>
          <a:off x="1409699" y="1666875"/>
          <a:ext cx="1381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tx1"/>
              </a:solidFill>
              <a:latin typeface="kulim"/>
            </a:rPr>
            <a:t> Total</a:t>
          </a:r>
          <a:r>
            <a:rPr lang="en-US" sz="1000" b="0" i="0" u="none" strike="noStrike" baseline="0">
              <a:solidFill>
                <a:schemeClr val="tx1"/>
              </a:solidFill>
              <a:latin typeface="kulim"/>
            </a:rPr>
            <a:t> sale</a:t>
          </a:r>
          <a:endParaRPr lang="en-US" sz="1000" b="0" i="0" u="none" strike="noStrike">
            <a:solidFill>
              <a:schemeClr val="tx1"/>
            </a:solidFill>
            <a:latin typeface="kulim"/>
          </a:endParaRPr>
        </a:p>
      </xdr:txBody>
    </xdr:sp>
    <xdr:clientData/>
  </xdr:twoCellAnchor>
  <xdr:twoCellAnchor>
    <xdr:from>
      <xdr:col>1</xdr:col>
      <xdr:colOff>647700</xdr:colOff>
      <xdr:row>10</xdr:row>
      <xdr:rowOff>133350</xdr:rowOff>
    </xdr:from>
    <xdr:to>
      <xdr:col>4</xdr:col>
      <xdr:colOff>200025</xdr:colOff>
      <xdr:row>22</xdr:row>
      <xdr:rowOff>152400</xdr:rowOff>
    </xdr:to>
    <xdr:sp macro="" textlink="">
      <xdr:nvSpPr>
        <xdr:cNvPr id="36" name="Rectangle: Rounded Corners 35">
          <a:extLst>
            <a:ext uri="{FF2B5EF4-FFF2-40B4-BE49-F238E27FC236}">
              <a16:creationId xmlns:a16="http://schemas.microsoft.com/office/drawing/2014/main" id="{72FED452-3F90-442D-950F-71DE1EC86980}"/>
            </a:ext>
          </a:extLst>
        </xdr:cNvPr>
        <xdr:cNvSpPr/>
      </xdr:nvSpPr>
      <xdr:spPr>
        <a:xfrm>
          <a:off x="1333500" y="1943100"/>
          <a:ext cx="1609725" cy="2190750"/>
        </a:xfrm>
        <a:prstGeom prst="roundRect">
          <a:avLst>
            <a:gd name="adj" fmla="val 5424"/>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619124</xdr:colOff>
      <xdr:row>10</xdr:row>
      <xdr:rowOff>123825</xdr:rowOff>
    </xdr:from>
    <xdr:to>
      <xdr:col>4</xdr:col>
      <xdr:colOff>38100</xdr:colOff>
      <xdr:row>12</xdr:row>
      <xdr:rowOff>38100</xdr:rowOff>
    </xdr:to>
    <xdr:sp macro="" textlink="">
      <xdr:nvSpPr>
        <xdr:cNvPr id="37" name="TextBox 36">
          <a:extLst>
            <a:ext uri="{FF2B5EF4-FFF2-40B4-BE49-F238E27FC236}">
              <a16:creationId xmlns:a16="http://schemas.microsoft.com/office/drawing/2014/main" id="{FB45A2AE-849E-481D-AF28-9DB0C235C78F}"/>
            </a:ext>
          </a:extLst>
        </xdr:cNvPr>
        <xdr:cNvSpPr txBox="1"/>
      </xdr:nvSpPr>
      <xdr:spPr>
        <a:xfrm>
          <a:off x="1304924" y="1933575"/>
          <a:ext cx="14763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mn-lt"/>
            </a:rPr>
            <a:t> Total</a:t>
          </a:r>
          <a:r>
            <a:rPr lang="en-US" sz="1000" b="1" i="0" u="none" strike="noStrike" baseline="0">
              <a:solidFill>
                <a:schemeClr val="tx1"/>
              </a:solidFill>
              <a:latin typeface="+mn-lt"/>
            </a:rPr>
            <a:t> sale by categories</a:t>
          </a:r>
          <a:endParaRPr lang="en-US" sz="1000" b="1" i="0" u="none" strike="noStrike">
            <a:solidFill>
              <a:schemeClr val="tx1"/>
            </a:solidFill>
            <a:latin typeface="+mn-lt"/>
          </a:endParaRPr>
        </a:p>
      </xdr:txBody>
    </xdr:sp>
    <xdr:clientData/>
  </xdr:twoCellAnchor>
  <xdr:twoCellAnchor>
    <xdr:from>
      <xdr:col>2</xdr:col>
      <xdr:colOff>85725</xdr:colOff>
      <xdr:row>12</xdr:row>
      <xdr:rowOff>57150</xdr:rowOff>
    </xdr:from>
    <xdr:to>
      <xdr:col>3</xdr:col>
      <xdr:colOff>133350</xdr:colOff>
      <xdr:row>13</xdr:row>
      <xdr:rowOff>66675</xdr:rowOff>
    </xdr:to>
    <xdr:sp macro="" textlink="">
      <xdr:nvSpPr>
        <xdr:cNvPr id="38" name="Rectangle 37">
          <a:extLst>
            <a:ext uri="{FF2B5EF4-FFF2-40B4-BE49-F238E27FC236}">
              <a16:creationId xmlns:a16="http://schemas.microsoft.com/office/drawing/2014/main" id="{43D78456-F0CA-400D-A82A-304516322DA8}"/>
            </a:ext>
          </a:extLst>
        </xdr:cNvPr>
        <xdr:cNvSpPr/>
      </xdr:nvSpPr>
      <xdr:spPr>
        <a:xfrm>
          <a:off x="1457325" y="2228850"/>
          <a:ext cx="733425" cy="190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66678</xdr:colOff>
      <xdr:row>12</xdr:row>
      <xdr:rowOff>104775</xdr:rowOff>
    </xdr:from>
    <xdr:to>
      <xdr:col>3</xdr:col>
      <xdr:colOff>247654</xdr:colOff>
      <xdr:row>14</xdr:row>
      <xdr:rowOff>19050</xdr:rowOff>
    </xdr:to>
    <xdr:sp macro="" textlink="pivot!E4">
      <xdr:nvSpPr>
        <xdr:cNvPr id="40" name="TextBox 39">
          <a:extLst>
            <a:ext uri="{FF2B5EF4-FFF2-40B4-BE49-F238E27FC236}">
              <a16:creationId xmlns:a16="http://schemas.microsoft.com/office/drawing/2014/main" id="{ACE38DBB-B02A-4C3E-827E-15AA408DE209}"/>
            </a:ext>
          </a:extLst>
        </xdr:cNvPr>
        <xdr:cNvSpPr txBox="1"/>
      </xdr:nvSpPr>
      <xdr:spPr>
        <a:xfrm>
          <a:off x="1438278" y="227647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5D5AAC-54E7-47B9-937D-B2526F031652}" type="TxLink">
            <a:rPr lang="en-US" sz="1100" b="0" i="0" u="none" strike="noStrike">
              <a:solidFill>
                <a:srgbClr val="000000"/>
              </a:solidFill>
              <a:latin typeface="Aptos Narrow"/>
            </a:rPr>
            <a:pPr algn="ctr"/>
            <a:t>Beauty</a:t>
          </a:fld>
          <a:endParaRPr lang="en-US" sz="1000" b="0" i="0" u="none" strike="noStrike">
            <a:solidFill>
              <a:schemeClr val="tx1"/>
            </a:solidFill>
            <a:latin typeface="kulim"/>
          </a:endParaRPr>
        </a:p>
      </xdr:txBody>
    </xdr:sp>
    <xdr:clientData/>
  </xdr:twoCellAnchor>
  <xdr:twoCellAnchor>
    <xdr:from>
      <xdr:col>2</xdr:col>
      <xdr:colOff>104778</xdr:colOff>
      <xdr:row>14</xdr:row>
      <xdr:rowOff>95250</xdr:rowOff>
    </xdr:from>
    <xdr:to>
      <xdr:col>3</xdr:col>
      <xdr:colOff>285754</xdr:colOff>
      <xdr:row>16</xdr:row>
      <xdr:rowOff>9525</xdr:rowOff>
    </xdr:to>
    <xdr:sp macro="" textlink="pivot!E5">
      <xdr:nvSpPr>
        <xdr:cNvPr id="41" name="TextBox 40">
          <a:extLst>
            <a:ext uri="{FF2B5EF4-FFF2-40B4-BE49-F238E27FC236}">
              <a16:creationId xmlns:a16="http://schemas.microsoft.com/office/drawing/2014/main" id="{6963F42F-9930-4BA9-A541-C53265656EAE}"/>
            </a:ext>
          </a:extLst>
        </xdr:cNvPr>
        <xdr:cNvSpPr txBox="1"/>
      </xdr:nvSpPr>
      <xdr:spPr>
        <a:xfrm>
          <a:off x="1476378" y="2628900"/>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44E9F5-ED62-4729-893C-E1A7A28F61F0}" type="TxLink">
            <a:rPr lang="en-US" sz="1100" b="0" i="0" u="none" strike="noStrike">
              <a:solidFill>
                <a:srgbClr val="000000"/>
              </a:solidFill>
              <a:latin typeface="Aptos Narrow"/>
            </a:rPr>
            <a:pPr algn="ctr"/>
            <a:t>Clothing</a:t>
          </a:fld>
          <a:endParaRPr lang="en-US" sz="1000" b="0" i="0" u="none" strike="noStrike">
            <a:solidFill>
              <a:schemeClr val="tx1"/>
            </a:solidFill>
            <a:latin typeface="kulim"/>
          </a:endParaRPr>
        </a:p>
      </xdr:txBody>
    </xdr:sp>
    <xdr:clientData/>
  </xdr:twoCellAnchor>
  <xdr:twoCellAnchor>
    <xdr:from>
      <xdr:col>2</xdr:col>
      <xdr:colOff>161928</xdr:colOff>
      <xdr:row>16</xdr:row>
      <xdr:rowOff>104775</xdr:rowOff>
    </xdr:from>
    <xdr:to>
      <xdr:col>3</xdr:col>
      <xdr:colOff>342904</xdr:colOff>
      <xdr:row>18</xdr:row>
      <xdr:rowOff>19050</xdr:rowOff>
    </xdr:to>
    <xdr:sp macro="" textlink="pivot!E6">
      <xdr:nvSpPr>
        <xdr:cNvPr id="42" name="TextBox 41">
          <a:extLst>
            <a:ext uri="{FF2B5EF4-FFF2-40B4-BE49-F238E27FC236}">
              <a16:creationId xmlns:a16="http://schemas.microsoft.com/office/drawing/2014/main" id="{50AEC679-85DB-4018-8DBD-A74BE482C32D}"/>
            </a:ext>
          </a:extLst>
        </xdr:cNvPr>
        <xdr:cNvSpPr txBox="1"/>
      </xdr:nvSpPr>
      <xdr:spPr>
        <a:xfrm>
          <a:off x="1533528" y="300037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080AA-42BC-45D8-8AB7-49B074F408B9}" type="TxLink">
            <a:rPr lang="en-US" sz="1100" b="0" i="0" u="none" strike="noStrike">
              <a:solidFill>
                <a:srgbClr val="000000"/>
              </a:solidFill>
              <a:latin typeface="Aptos Narrow"/>
            </a:rPr>
            <a:pPr algn="ctr"/>
            <a:t>Electronics</a:t>
          </a:fld>
          <a:endParaRPr lang="en-US" sz="1000" b="0" i="0" u="none" strike="noStrike">
            <a:solidFill>
              <a:schemeClr val="tx1"/>
            </a:solidFill>
            <a:latin typeface="kulim"/>
          </a:endParaRPr>
        </a:p>
      </xdr:txBody>
    </xdr:sp>
    <xdr:clientData/>
  </xdr:twoCellAnchor>
  <xdr:twoCellAnchor>
    <xdr:from>
      <xdr:col>2</xdr:col>
      <xdr:colOff>47628</xdr:colOff>
      <xdr:row>18</xdr:row>
      <xdr:rowOff>152400</xdr:rowOff>
    </xdr:from>
    <xdr:to>
      <xdr:col>3</xdr:col>
      <xdr:colOff>257176</xdr:colOff>
      <xdr:row>20</xdr:row>
      <xdr:rowOff>66675</xdr:rowOff>
    </xdr:to>
    <xdr:sp macro="" textlink="pivot!E7">
      <xdr:nvSpPr>
        <xdr:cNvPr id="43" name="TextBox 42">
          <a:extLst>
            <a:ext uri="{FF2B5EF4-FFF2-40B4-BE49-F238E27FC236}">
              <a16:creationId xmlns:a16="http://schemas.microsoft.com/office/drawing/2014/main" id="{340A7462-E971-4A77-B684-3B69A0A9A1D7}"/>
            </a:ext>
          </a:extLst>
        </xdr:cNvPr>
        <xdr:cNvSpPr txBox="1"/>
      </xdr:nvSpPr>
      <xdr:spPr>
        <a:xfrm>
          <a:off x="1419228" y="3409950"/>
          <a:ext cx="895348"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55B8A4-7EAA-4C08-B191-B748DCC5561B}" type="TxLink">
            <a:rPr lang="en-US" sz="1100" b="0" i="0" u="none" strike="noStrike">
              <a:solidFill>
                <a:srgbClr val="000000"/>
              </a:solidFill>
              <a:latin typeface="Aptos Narrow"/>
            </a:rPr>
            <a:pPr algn="ctr"/>
            <a:t>Home Goods</a:t>
          </a:fld>
          <a:endParaRPr lang="en-US" sz="1000" b="0" i="0" u="none" strike="noStrike">
            <a:solidFill>
              <a:schemeClr val="tx1"/>
            </a:solidFill>
            <a:latin typeface="kulim"/>
          </a:endParaRPr>
        </a:p>
      </xdr:txBody>
    </xdr:sp>
    <xdr:clientData/>
  </xdr:twoCellAnchor>
  <xdr:twoCellAnchor>
    <xdr:from>
      <xdr:col>2</xdr:col>
      <xdr:colOff>47628</xdr:colOff>
      <xdr:row>20</xdr:row>
      <xdr:rowOff>152400</xdr:rowOff>
    </xdr:from>
    <xdr:to>
      <xdr:col>3</xdr:col>
      <xdr:colOff>228604</xdr:colOff>
      <xdr:row>22</xdr:row>
      <xdr:rowOff>66675</xdr:rowOff>
    </xdr:to>
    <xdr:sp macro="" textlink="pivot!E8">
      <xdr:nvSpPr>
        <xdr:cNvPr id="44" name="TextBox 43">
          <a:extLst>
            <a:ext uri="{FF2B5EF4-FFF2-40B4-BE49-F238E27FC236}">
              <a16:creationId xmlns:a16="http://schemas.microsoft.com/office/drawing/2014/main" id="{5A01EA58-5F00-4073-829E-DE2896E2070B}"/>
            </a:ext>
          </a:extLst>
        </xdr:cNvPr>
        <xdr:cNvSpPr txBox="1"/>
      </xdr:nvSpPr>
      <xdr:spPr>
        <a:xfrm>
          <a:off x="1419228" y="3771900"/>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C389D4-5A1A-433B-B8AE-8015892A73A6}" type="TxLink">
            <a:rPr lang="en-US" sz="1100" b="0" i="0" u="none" strike="noStrike">
              <a:solidFill>
                <a:srgbClr val="000000"/>
              </a:solidFill>
              <a:latin typeface="Aptos Narrow"/>
            </a:rPr>
            <a:pPr algn="ctr"/>
            <a:t>Sports</a:t>
          </a:fld>
          <a:endParaRPr lang="en-US" sz="1000" b="0" i="0" u="none" strike="noStrike">
            <a:solidFill>
              <a:schemeClr val="tx1"/>
            </a:solidFill>
            <a:latin typeface="kulim"/>
          </a:endParaRPr>
        </a:p>
      </xdr:txBody>
    </xdr:sp>
    <xdr:clientData/>
  </xdr:twoCellAnchor>
  <xdr:twoCellAnchor>
    <xdr:from>
      <xdr:col>3</xdr:col>
      <xdr:colOff>66678</xdr:colOff>
      <xdr:row>12</xdr:row>
      <xdr:rowOff>114300</xdr:rowOff>
    </xdr:from>
    <xdr:to>
      <xdr:col>4</xdr:col>
      <xdr:colOff>247654</xdr:colOff>
      <xdr:row>14</xdr:row>
      <xdr:rowOff>28575</xdr:rowOff>
    </xdr:to>
    <xdr:sp macro="" textlink="pivot!$F$4">
      <xdr:nvSpPr>
        <xdr:cNvPr id="45" name="TextBox 44">
          <a:extLst>
            <a:ext uri="{FF2B5EF4-FFF2-40B4-BE49-F238E27FC236}">
              <a16:creationId xmlns:a16="http://schemas.microsoft.com/office/drawing/2014/main" id="{9E389180-1F0C-48D6-A8D0-8CFFB48DA298}"/>
            </a:ext>
          </a:extLst>
        </xdr:cNvPr>
        <xdr:cNvSpPr txBox="1"/>
      </xdr:nvSpPr>
      <xdr:spPr>
        <a:xfrm>
          <a:off x="2124078" y="2286000"/>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F141B9-98E4-4E4D-9A03-5D6A9BCD4E7B}" type="TxLink">
            <a:rPr lang="en-US" sz="1100" b="0" i="0" u="none" strike="noStrike">
              <a:solidFill>
                <a:srgbClr val="000000"/>
              </a:solidFill>
              <a:latin typeface="Aptos Narrow"/>
            </a:rPr>
            <a:pPr algn="ctr"/>
            <a:t> ₹ 29,182 </a:t>
          </a:fld>
          <a:endParaRPr lang="en-US" sz="1000" b="0" i="0" u="none" strike="noStrike">
            <a:solidFill>
              <a:schemeClr val="tx1"/>
            </a:solidFill>
            <a:latin typeface="kulim"/>
          </a:endParaRPr>
        </a:p>
      </xdr:txBody>
    </xdr:sp>
    <xdr:clientData/>
  </xdr:twoCellAnchor>
  <xdr:twoCellAnchor>
    <xdr:from>
      <xdr:col>3</xdr:col>
      <xdr:colOff>66678</xdr:colOff>
      <xdr:row>14</xdr:row>
      <xdr:rowOff>95250</xdr:rowOff>
    </xdr:from>
    <xdr:to>
      <xdr:col>4</xdr:col>
      <xdr:colOff>247654</xdr:colOff>
      <xdr:row>16</xdr:row>
      <xdr:rowOff>9525</xdr:rowOff>
    </xdr:to>
    <xdr:sp macro="" textlink="pivot!$F$5">
      <xdr:nvSpPr>
        <xdr:cNvPr id="46" name="TextBox 45">
          <a:extLst>
            <a:ext uri="{FF2B5EF4-FFF2-40B4-BE49-F238E27FC236}">
              <a16:creationId xmlns:a16="http://schemas.microsoft.com/office/drawing/2014/main" id="{5C97565E-4E40-4363-85C5-4CBA7A39DB33}"/>
            </a:ext>
          </a:extLst>
        </xdr:cNvPr>
        <xdr:cNvSpPr txBox="1"/>
      </xdr:nvSpPr>
      <xdr:spPr>
        <a:xfrm>
          <a:off x="2124078" y="2628900"/>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D8374D-3CF3-4E84-9322-68996DC28919}" type="TxLink">
            <a:rPr lang="en-US" sz="1100" b="0" i="0" u="none" strike="noStrike">
              <a:solidFill>
                <a:srgbClr val="000000"/>
              </a:solidFill>
              <a:latin typeface="Aptos Narrow"/>
            </a:rPr>
            <a:pPr algn="ctr"/>
            <a:t> ₹ 27,014 </a:t>
          </a:fld>
          <a:endParaRPr lang="en-US" sz="1000" b="0" i="0" u="none" strike="noStrike">
            <a:solidFill>
              <a:schemeClr val="tx1"/>
            </a:solidFill>
            <a:latin typeface="kulim"/>
          </a:endParaRPr>
        </a:p>
      </xdr:txBody>
    </xdr:sp>
    <xdr:clientData/>
  </xdr:twoCellAnchor>
  <xdr:twoCellAnchor>
    <xdr:from>
      <xdr:col>3</xdr:col>
      <xdr:colOff>66678</xdr:colOff>
      <xdr:row>16</xdr:row>
      <xdr:rowOff>123825</xdr:rowOff>
    </xdr:from>
    <xdr:to>
      <xdr:col>4</xdr:col>
      <xdr:colOff>247654</xdr:colOff>
      <xdr:row>18</xdr:row>
      <xdr:rowOff>38100</xdr:rowOff>
    </xdr:to>
    <xdr:sp macro="" textlink="pivot!$F$6">
      <xdr:nvSpPr>
        <xdr:cNvPr id="47" name="TextBox 46">
          <a:extLst>
            <a:ext uri="{FF2B5EF4-FFF2-40B4-BE49-F238E27FC236}">
              <a16:creationId xmlns:a16="http://schemas.microsoft.com/office/drawing/2014/main" id="{5C99480D-BF92-4871-9EC6-E6BE78C1E5B7}"/>
            </a:ext>
          </a:extLst>
        </xdr:cNvPr>
        <xdr:cNvSpPr txBox="1"/>
      </xdr:nvSpPr>
      <xdr:spPr>
        <a:xfrm>
          <a:off x="2124078" y="301942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07E28E-4EE2-48D7-A73B-8DE5F04539FB}" type="TxLink">
            <a:rPr lang="en-US" sz="1100" b="0" i="0" u="none" strike="noStrike">
              <a:solidFill>
                <a:srgbClr val="000000"/>
              </a:solidFill>
              <a:latin typeface="Aptos Narrow"/>
            </a:rPr>
            <a:pPr algn="ctr"/>
            <a:t> ₹ 39,310 </a:t>
          </a:fld>
          <a:endParaRPr lang="en-US" sz="1000" b="0" i="0" u="none" strike="noStrike">
            <a:solidFill>
              <a:schemeClr val="tx1"/>
            </a:solidFill>
            <a:latin typeface="kulim"/>
          </a:endParaRPr>
        </a:p>
      </xdr:txBody>
    </xdr:sp>
    <xdr:clientData/>
  </xdr:twoCellAnchor>
  <xdr:twoCellAnchor>
    <xdr:from>
      <xdr:col>3</xdr:col>
      <xdr:colOff>66678</xdr:colOff>
      <xdr:row>18</xdr:row>
      <xdr:rowOff>161925</xdr:rowOff>
    </xdr:from>
    <xdr:to>
      <xdr:col>4</xdr:col>
      <xdr:colOff>247654</xdr:colOff>
      <xdr:row>20</xdr:row>
      <xdr:rowOff>76200</xdr:rowOff>
    </xdr:to>
    <xdr:sp macro="" textlink="pivot!$F$7">
      <xdr:nvSpPr>
        <xdr:cNvPr id="48" name="TextBox 47">
          <a:extLst>
            <a:ext uri="{FF2B5EF4-FFF2-40B4-BE49-F238E27FC236}">
              <a16:creationId xmlns:a16="http://schemas.microsoft.com/office/drawing/2014/main" id="{91D19547-27A7-43C7-AADE-9179BFD5325E}"/>
            </a:ext>
          </a:extLst>
        </xdr:cNvPr>
        <xdr:cNvSpPr txBox="1"/>
      </xdr:nvSpPr>
      <xdr:spPr>
        <a:xfrm>
          <a:off x="2124078" y="341947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67EB9A-605B-494E-9568-547099F88636}" type="TxLink">
            <a:rPr lang="en-US" sz="1100" b="0" i="0" u="none" strike="noStrike">
              <a:solidFill>
                <a:srgbClr val="000000"/>
              </a:solidFill>
              <a:latin typeface="Aptos Narrow"/>
            </a:rPr>
            <a:pPr algn="ctr"/>
            <a:t> ₹ 51,360 </a:t>
          </a:fld>
          <a:endParaRPr lang="en-US" sz="1000" b="0" i="0" u="none" strike="noStrike">
            <a:solidFill>
              <a:schemeClr val="tx1"/>
            </a:solidFill>
            <a:latin typeface="kulim"/>
          </a:endParaRPr>
        </a:p>
      </xdr:txBody>
    </xdr:sp>
    <xdr:clientData/>
  </xdr:twoCellAnchor>
  <xdr:twoCellAnchor>
    <xdr:from>
      <xdr:col>3</xdr:col>
      <xdr:colOff>66678</xdr:colOff>
      <xdr:row>20</xdr:row>
      <xdr:rowOff>161925</xdr:rowOff>
    </xdr:from>
    <xdr:to>
      <xdr:col>4</xdr:col>
      <xdr:colOff>247654</xdr:colOff>
      <xdr:row>22</xdr:row>
      <xdr:rowOff>76200</xdr:rowOff>
    </xdr:to>
    <xdr:sp macro="" textlink="pivot!$F$8">
      <xdr:nvSpPr>
        <xdr:cNvPr id="49" name="TextBox 48">
          <a:extLst>
            <a:ext uri="{FF2B5EF4-FFF2-40B4-BE49-F238E27FC236}">
              <a16:creationId xmlns:a16="http://schemas.microsoft.com/office/drawing/2014/main" id="{D4CA513E-4807-4A58-BD1D-8B137BC6CA41}"/>
            </a:ext>
          </a:extLst>
        </xdr:cNvPr>
        <xdr:cNvSpPr txBox="1"/>
      </xdr:nvSpPr>
      <xdr:spPr>
        <a:xfrm>
          <a:off x="2124078" y="378142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320A4A-F8D0-4196-BA08-452DFDCFD5A4}" type="TxLink">
            <a:rPr lang="en-US" sz="1100" b="0" i="0" u="none" strike="noStrike">
              <a:solidFill>
                <a:srgbClr val="000000"/>
              </a:solidFill>
              <a:latin typeface="Aptos Narrow"/>
            </a:rPr>
            <a:pPr algn="ctr"/>
            <a:t> ₹ 61,905 </a:t>
          </a:fld>
          <a:endParaRPr lang="en-US" sz="1000" b="0" i="0" u="none" strike="noStrike">
            <a:solidFill>
              <a:schemeClr val="tx1"/>
            </a:solidFill>
            <a:latin typeface="kulim"/>
          </a:endParaRPr>
        </a:p>
      </xdr:txBody>
    </xdr:sp>
    <xdr:clientData/>
  </xdr:twoCellAnchor>
  <xdr:twoCellAnchor>
    <xdr:from>
      <xdr:col>2</xdr:col>
      <xdr:colOff>19050</xdr:colOff>
      <xdr:row>12</xdr:row>
      <xdr:rowOff>114300</xdr:rowOff>
    </xdr:from>
    <xdr:to>
      <xdr:col>2</xdr:col>
      <xdr:colOff>276225</xdr:colOff>
      <xdr:row>14</xdr:row>
      <xdr:rowOff>9525</xdr:rowOff>
    </xdr:to>
    <xdr:sp macro="" textlink="">
      <xdr:nvSpPr>
        <xdr:cNvPr id="39" name="Oval 38">
          <a:extLst>
            <a:ext uri="{FF2B5EF4-FFF2-40B4-BE49-F238E27FC236}">
              <a16:creationId xmlns:a16="http://schemas.microsoft.com/office/drawing/2014/main" id="{11E46931-83FE-4F18-A5CF-E36129AE57E1}"/>
            </a:ext>
          </a:extLst>
        </xdr:cNvPr>
        <xdr:cNvSpPr/>
      </xdr:nvSpPr>
      <xdr:spPr>
        <a:xfrm>
          <a:off x="1390650" y="2286000"/>
          <a:ext cx="257175" cy="257175"/>
        </a:xfrm>
        <a:prstGeom prst="ellipse">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xdr:colOff>
      <xdr:row>14</xdr:row>
      <xdr:rowOff>114300</xdr:rowOff>
    </xdr:from>
    <xdr:to>
      <xdr:col>2</xdr:col>
      <xdr:colOff>276225</xdr:colOff>
      <xdr:row>16</xdr:row>
      <xdr:rowOff>9525</xdr:rowOff>
    </xdr:to>
    <xdr:sp macro="" textlink="">
      <xdr:nvSpPr>
        <xdr:cNvPr id="50" name="Oval 49">
          <a:extLst>
            <a:ext uri="{FF2B5EF4-FFF2-40B4-BE49-F238E27FC236}">
              <a16:creationId xmlns:a16="http://schemas.microsoft.com/office/drawing/2014/main" id="{48E3435C-DC41-4F20-9806-F8D17E5F4F59}"/>
            </a:ext>
          </a:extLst>
        </xdr:cNvPr>
        <xdr:cNvSpPr/>
      </xdr:nvSpPr>
      <xdr:spPr>
        <a:xfrm>
          <a:off x="1390650" y="2647950"/>
          <a:ext cx="257175" cy="257175"/>
        </a:xfrm>
        <a:prstGeom prst="ellipse">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xdr:colOff>
      <xdr:row>16</xdr:row>
      <xdr:rowOff>123825</xdr:rowOff>
    </xdr:from>
    <xdr:to>
      <xdr:col>2</xdr:col>
      <xdr:colOff>276225</xdr:colOff>
      <xdr:row>18</xdr:row>
      <xdr:rowOff>19050</xdr:rowOff>
    </xdr:to>
    <xdr:sp macro="" textlink="">
      <xdr:nvSpPr>
        <xdr:cNvPr id="51" name="Oval 50">
          <a:extLst>
            <a:ext uri="{FF2B5EF4-FFF2-40B4-BE49-F238E27FC236}">
              <a16:creationId xmlns:a16="http://schemas.microsoft.com/office/drawing/2014/main" id="{B899DB39-142B-4ED3-BA25-9EDE0F0F1D3D}"/>
            </a:ext>
          </a:extLst>
        </xdr:cNvPr>
        <xdr:cNvSpPr/>
      </xdr:nvSpPr>
      <xdr:spPr>
        <a:xfrm>
          <a:off x="1390650" y="3019425"/>
          <a:ext cx="257175" cy="257175"/>
        </a:xfrm>
        <a:prstGeom prst="ellipse">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xdr:colOff>
      <xdr:row>18</xdr:row>
      <xdr:rowOff>152400</xdr:rowOff>
    </xdr:from>
    <xdr:to>
      <xdr:col>2</xdr:col>
      <xdr:colOff>276225</xdr:colOff>
      <xdr:row>20</xdr:row>
      <xdr:rowOff>47625</xdr:rowOff>
    </xdr:to>
    <xdr:sp macro="" textlink="">
      <xdr:nvSpPr>
        <xdr:cNvPr id="52" name="Oval 51">
          <a:extLst>
            <a:ext uri="{FF2B5EF4-FFF2-40B4-BE49-F238E27FC236}">
              <a16:creationId xmlns:a16="http://schemas.microsoft.com/office/drawing/2014/main" id="{D1E9FE4D-3970-4B3B-A257-C502C8473ED8}"/>
            </a:ext>
          </a:extLst>
        </xdr:cNvPr>
        <xdr:cNvSpPr/>
      </xdr:nvSpPr>
      <xdr:spPr>
        <a:xfrm>
          <a:off x="1390650" y="3409950"/>
          <a:ext cx="257175" cy="257175"/>
        </a:xfrm>
        <a:prstGeom prst="ellipse">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xdr:colOff>
      <xdr:row>20</xdr:row>
      <xdr:rowOff>142875</xdr:rowOff>
    </xdr:from>
    <xdr:to>
      <xdr:col>2</xdr:col>
      <xdr:colOff>276225</xdr:colOff>
      <xdr:row>22</xdr:row>
      <xdr:rowOff>38100</xdr:rowOff>
    </xdr:to>
    <xdr:sp macro="" textlink="">
      <xdr:nvSpPr>
        <xdr:cNvPr id="53" name="Oval 52">
          <a:extLst>
            <a:ext uri="{FF2B5EF4-FFF2-40B4-BE49-F238E27FC236}">
              <a16:creationId xmlns:a16="http://schemas.microsoft.com/office/drawing/2014/main" id="{582779F4-427A-4FAA-86EA-22987BA4F3B1}"/>
            </a:ext>
          </a:extLst>
        </xdr:cNvPr>
        <xdr:cNvSpPr/>
      </xdr:nvSpPr>
      <xdr:spPr>
        <a:xfrm>
          <a:off x="1390650" y="3762375"/>
          <a:ext cx="257175" cy="257175"/>
        </a:xfrm>
        <a:prstGeom prst="ellipse">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19050</xdr:colOff>
      <xdr:row>12</xdr:row>
      <xdr:rowOff>104774</xdr:rowOff>
    </xdr:from>
    <xdr:to>
      <xdr:col>2</xdr:col>
      <xdr:colOff>257176</xdr:colOff>
      <xdr:row>13</xdr:row>
      <xdr:rowOff>161925</xdr:rowOff>
    </xdr:to>
    <xdr:pic>
      <xdr:nvPicPr>
        <xdr:cNvPr id="7" name="Graphic 6" descr="Lashes">
          <a:extLst>
            <a:ext uri="{FF2B5EF4-FFF2-40B4-BE49-F238E27FC236}">
              <a16:creationId xmlns:a16="http://schemas.microsoft.com/office/drawing/2014/main" id="{60AF1100-D9B3-4713-98C8-072A47000E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flipV="1">
          <a:off x="1390650" y="2276474"/>
          <a:ext cx="238126" cy="238126"/>
        </a:xfrm>
        <a:prstGeom prst="rect">
          <a:avLst/>
        </a:prstGeom>
      </xdr:spPr>
    </xdr:pic>
    <xdr:clientData/>
  </xdr:twoCellAnchor>
  <xdr:twoCellAnchor editAs="oneCell">
    <xdr:from>
      <xdr:col>2</xdr:col>
      <xdr:colOff>19050</xdr:colOff>
      <xdr:row>14</xdr:row>
      <xdr:rowOff>123824</xdr:rowOff>
    </xdr:from>
    <xdr:to>
      <xdr:col>2</xdr:col>
      <xdr:colOff>257176</xdr:colOff>
      <xdr:row>16</xdr:row>
      <xdr:rowOff>0</xdr:rowOff>
    </xdr:to>
    <xdr:pic>
      <xdr:nvPicPr>
        <xdr:cNvPr id="9" name="Graphic 8" descr="Suit">
          <a:extLst>
            <a:ext uri="{FF2B5EF4-FFF2-40B4-BE49-F238E27FC236}">
              <a16:creationId xmlns:a16="http://schemas.microsoft.com/office/drawing/2014/main" id="{EAD26533-E20F-4459-8247-A9A2A61C6D0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rot="10800000" flipV="1">
          <a:off x="1390650" y="2657474"/>
          <a:ext cx="238126" cy="238126"/>
        </a:xfrm>
        <a:prstGeom prst="rect">
          <a:avLst/>
        </a:prstGeom>
      </xdr:spPr>
    </xdr:pic>
    <xdr:clientData/>
  </xdr:twoCellAnchor>
  <xdr:twoCellAnchor editAs="oneCell">
    <xdr:from>
      <xdr:col>2</xdr:col>
      <xdr:colOff>19050</xdr:colOff>
      <xdr:row>16</xdr:row>
      <xdr:rowOff>142874</xdr:rowOff>
    </xdr:from>
    <xdr:to>
      <xdr:col>2</xdr:col>
      <xdr:colOff>257176</xdr:colOff>
      <xdr:row>18</xdr:row>
      <xdr:rowOff>19050</xdr:rowOff>
    </xdr:to>
    <xdr:pic>
      <xdr:nvPicPr>
        <xdr:cNvPr id="11" name="Graphic 10" descr="Remote control">
          <a:extLst>
            <a:ext uri="{FF2B5EF4-FFF2-40B4-BE49-F238E27FC236}">
              <a16:creationId xmlns:a16="http://schemas.microsoft.com/office/drawing/2014/main" id="{BA3842AC-8B3A-495C-969E-767F7F9F70B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flipV="1">
          <a:off x="1390650" y="3038474"/>
          <a:ext cx="238126" cy="238126"/>
        </a:xfrm>
        <a:prstGeom prst="rect">
          <a:avLst/>
        </a:prstGeom>
      </xdr:spPr>
    </xdr:pic>
    <xdr:clientData/>
  </xdr:twoCellAnchor>
  <xdr:twoCellAnchor editAs="oneCell">
    <xdr:from>
      <xdr:col>2</xdr:col>
      <xdr:colOff>9525</xdr:colOff>
      <xdr:row>18</xdr:row>
      <xdr:rowOff>171449</xdr:rowOff>
    </xdr:from>
    <xdr:to>
      <xdr:col>2</xdr:col>
      <xdr:colOff>247651</xdr:colOff>
      <xdr:row>20</xdr:row>
      <xdr:rowOff>47625</xdr:rowOff>
    </xdr:to>
    <xdr:pic>
      <xdr:nvPicPr>
        <xdr:cNvPr id="18" name="Graphic 17" descr="Couch">
          <a:extLst>
            <a:ext uri="{FF2B5EF4-FFF2-40B4-BE49-F238E27FC236}">
              <a16:creationId xmlns:a16="http://schemas.microsoft.com/office/drawing/2014/main" id="{C0E401E8-3197-4DCA-B5C9-724ABBD6A2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rot="10800000" flipV="1">
          <a:off x="1381125" y="3428999"/>
          <a:ext cx="238126" cy="238126"/>
        </a:xfrm>
        <a:prstGeom prst="rect">
          <a:avLst/>
        </a:prstGeom>
      </xdr:spPr>
    </xdr:pic>
    <xdr:clientData/>
  </xdr:twoCellAnchor>
  <xdr:twoCellAnchor editAs="oneCell">
    <xdr:from>
      <xdr:col>2</xdr:col>
      <xdr:colOff>9525</xdr:colOff>
      <xdr:row>20</xdr:row>
      <xdr:rowOff>161924</xdr:rowOff>
    </xdr:from>
    <xdr:to>
      <xdr:col>2</xdr:col>
      <xdr:colOff>247651</xdr:colOff>
      <xdr:row>22</xdr:row>
      <xdr:rowOff>38100</xdr:rowOff>
    </xdr:to>
    <xdr:pic>
      <xdr:nvPicPr>
        <xdr:cNvPr id="30" name="Graphic 29" descr="Sport balls">
          <a:extLst>
            <a:ext uri="{FF2B5EF4-FFF2-40B4-BE49-F238E27FC236}">
              <a16:creationId xmlns:a16="http://schemas.microsoft.com/office/drawing/2014/main" id="{576794AD-DF43-452E-BBB9-97522BE4C5D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flipV="1">
          <a:off x="1381125" y="3781424"/>
          <a:ext cx="238126" cy="238126"/>
        </a:xfrm>
        <a:prstGeom prst="rect">
          <a:avLst/>
        </a:prstGeom>
      </xdr:spPr>
    </xdr:pic>
    <xdr:clientData/>
  </xdr:twoCellAnchor>
  <xdr:twoCellAnchor>
    <xdr:from>
      <xdr:col>4</xdr:col>
      <xdr:colOff>276224</xdr:colOff>
      <xdr:row>8</xdr:row>
      <xdr:rowOff>9525</xdr:rowOff>
    </xdr:from>
    <xdr:to>
      <xdr:col>8</xdr:col>
      <xdr:colOff>57149</xdr:colOff>
      <xdr:row>14</xdr:row>
      <xdr:rowOff>76200</xdr:rowOff>
    </xdr:to>
    <xdr:sp macro="" textlink="">
      <xdr:nvSpPr>
        <xdr:cNvPr id="54" name="Rectangle: Rounded Corners 53">
          <a:extLst>
            <a:ext uri="{FF2B5EF4-FFF2-40B4-BE49-F238E27FC236}">
              <a16:creationId xmlns:a16="http://schemas.microsoft.com/office/drawing/2014/main" id="{FE67CAF4-10C6-4347-9C9C-E602BF5DB3C3}"/>
            </a:ext>
          </a:extLst>
        </xdr:cNvPr>
        <xdr:cNvSpPr/>
      </xdr:nvSpPr>
      <xdr:spPr>
        <a:xfrm>
          <a:off x="3019424" y="1457325"/>
          <a:ext cx="2524125" cy="1152525"/>
        </a:xfrm>
        <a:prstGeom prst="roundRect">
          <a:avLst>
            <a:gd name="adj" fmla="val 5424"/>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200026</xdr:colOff>
      <xdr:row>8</xdr:row>
      <xdr:rowOff>66675</xdr:rowOff>
    </xdr:from>
    <xdr:to>
      <xdr:col>8</xdr:col>
      <xdr:colOff>19050</xdr:colOff>
      <xdr:row>14</xdr:row>
      <xdr:rowOff>66677</xdr:rowOff>
    </xdr:to>
    <xdr:graphicFrame macro="">
      <xdr:nvGraphicFramePr>
        <xdr:cNvPr id="55" name="Chart 54">
          <a:extLst>
            <a:ext uri="{FF2B5EF4-FFF2-40B4-BE49-F238E27FC236}">
              <a16:creationId xmlns:a16="http://schemas.microsoft.com/office/drawing/2014/main" id="{E5F64B44-FDFD-4BA6-99FE-79523F5DC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28574</xdr:colOff>
      <xdr:row>7</xdr:row>
      <xdr:rowOff>142875</xdr:rowOff>
    </xdr:from>
    <xdr:to>
      <xdr:col>6</xdr:col>
      <xdr:colOff>133350</xdr:colOff>
      <xdr:row>9</xdr:row>
      <xdr:rowOff>57150</xdr:rowOff>
    </xdr:to>
    <xdr:sp macro="" textlink="">
      <xdr:nvSpPr>
        <xdr:cNvPr id="56" name="TextBox 55">
          <a:extLst>
            <a:ext uri="{FF2B5EF4-FFF2-40B4-BE49-F238E27FC236}">
              <a16:creationId xmlns:a16="http://schemas.microsoft.com/office/drawing/2014/main" id="{C1D4183F-D396-4CEF-8D30-537BA4CCE240}"/>
            </a:ext>
          </a:extLst>
        </xdr:cNvPr>
        <xdr:cNvSpPr txBox="1"/>
      </xdr:nvSpPr>
      <xdr:spPr>
        <a:xfrm>
          <a:off x="2771774" y="1409700"/>
          <a:ext cx="14763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mn-lt"/>
            </a:rPr>
            <a:t> Sales</a:t>
          </a:r>
          <a:r>
            <a:rPr lang="en-US" sz="1000" b="1" i="0" u="none" strike="noStrike" baseline="0">
              <a:solidFill>
                <a:schemeClr val="tx1"/>
              </a:solidFill>
              <a:latin typeface="+mn-lt"/>
            </a:rPr>
            <a:t> by Region</a:t>
          </a:r>
          <a:endParaRPr lang="en-US" sz="1000" b="1" i="0" u="none" strike="noStrike">
            <a:solidFill>
              <a:schemeClr val="tx1"/>
            </a:solidFill>
            <a:latin typeface="+mn-lt"/>
          </a:endParaRPr>
        </a:p>
      </xdr:txBody>
    </xdr:sp>
    <xdr:clientData/>
  </xdr:twoCellAnchor>
  <xdr:twoCellAnchor>
    <xdr:from>
      <xdr:col>8</xdr:col>
      <xdr:colOff>152400</xdr:colOff>
      <xdr:row>8</xdr:row>
      <xdr:rowOff>9525</xdr:rowOff>
    </xdr:from>
    <xdr:to>
      <xdr:col>11</xdr:col>
      <xdr:colOff>342900</xdr:colOff>
      <xdr:row>14</xdr:row>
      <xdr:rowOff>76200</xdr:rowOff>
    </xdr:to>
    <xdr:sp macro="" textlink="">
      <xdr:nvSpPr>
        <xdr:cNvPr id="57" name="Rectangle: Rounded Corners 56">
          <a:extLst>
            <a:ext uri="{FF2B5EF4-FFF2-40B4-BE49-F238E27FC236}">
              <a16:creationId xmlns:a16="http://schemas.microsoft.com/office/drawing/2014/main" id="{B1302D3A-FE33-483F-8CD3-3F7E81DC15BF}"/>
            </a:ext>
          </a:extLst>
        </xdr:cNvPr>
        <xdr:cNvSpPr/>
      </xdr:nvSpPr>
      <xdr:spPr>
        <a:xfrm>
          <a:off x="5638800" y="1457325"/>
          <a:ext cx="2247900" cy="1152525"/>
        </a:xfrm>
        <a:prstGeom prst="roundRect">
          <a:avLst>
            <a:gd name="adj" fmla="val 5424"/>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161924</xdr:colOff>
      <xdr:row>7</xdr:row>
      <xdr:rowOff>133350</xdr:rowOff>
    </xdr:from>
    <xdr:to>
      <xdr:col>10</xdr:col>
      <xdr:colOff>571499</xdr:colOff>
      <xdr:row>9</xdr:row>
      <xdr:rowOff>47625</xdr:rowOff>
    </xdr:to>
    <xdr:sp macro="" textlink="">
      <xdr:nvSpPr>
        <xdr:cNvPr id="58" name="TextBox 57">
          <a:extLst>
            <a:ext uri="{FF2B5EF4-FFF2-40B4-BE49-F238E27FC236}">
              <a16:creationId xmlns:a16="http://schemas.microsoft.com/office/drawing/2014/main" id="{BBAA8447-B589-499B-9B6F-4DE6680F634E}"/>
            </a:ext>
          </a:extLst>
        </xdr:cNvPr>
        <xdr:cNvSpPr txBox="1"/>
      </xdr:nvSpPr>
      <xdr:spPr>
        <a:xfrm>
          <a:off x="5648324" y="1400175"/>
          <a:ext cx="1781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mn-lt"/>
            </a:rPr>
            <a:t> Ranking</a:t>
          </a:r>
          <a:r>
            <a:rPr lang="en-US" sz="1000" b="1" i="0" u="none" strike="noStrike" baseline="0">
              <a:solidFill>
                <a:schemeClr val="tx1"/>
              </a:solidFill>
              <a:latin typeface="+mn-lt"/>
            </a:rPr>
            <a:t> for Region Managers</a:t>
          </a:r>
          <a:endParaRPr lang="en-US" sz="1000" b="1" i="0" u="none" strike="noStrike">
            <a:solidFill>
              <a:schemeClr val="tx1"/>
            </a:solidFill>
            <a:latin typeface="+mn-lt"/>
          </a:endParaRPr>
        </a:p>
      </xdr:txBody>
    </xdr:sp>
    <xdr:clientData/>
  </xdr:twoCellAnchor>
  <xdr:twoCellAnchor>
    <xdr:from>
      <xdr:col>8</xdr:col>
      <xdr:colOff>428628</xdr:colOff>
      <xdr:row>9</xdr:row>
      <xdr:rowOff>47625</xdr:rowOff>
    </xdr:from>
    <xdr:to>
      <xdr:col>9</xdr:col>
      <xdr:colOff>609604</xdr:colOff>
      <xdr:row>10</xdr:row>
      <xdr:rowOff>142875</xdr:rowOff>
    </xdr:to>
    <xdr:sp macro="" textlink="pivot!$K$7">
      <xdr:nvSpPr>
        <xdr:cNvPr id="59" name="TextBox 58">
          <a:extLst>
            <a:ext uri="{FF2B5EF4-FFF2-40B4-BE49-F238E27FC236}">
              <a16:creationId xmlns:a16="http://schemas.microsoft.com/office/drawing/2014/main" id="{F721889D-C290-4464-B6CC-951B1DD538B1}"/>
            </a:ext>
          </a:extLst>
        </xdr:cNvPr>
        <xdr:cNvSpPr txBox="1"/>
      </xdr:nvSpPr>
      <xdr:spPr>
        <a:xfrm>
          <a:off x="5915028" y="1676400"/>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0494C16-6A01-44B6-B0B0-CF155F84D5C0}" type="TxLink">
            <a:rPr lang="en-US" sz="1100" b="0" i="0" u="none" strike="noStrike">
              <a:solidFill>
                <a:srgbClr val="000000"/>
              </a:solidFill>
              <a:latin typeface="Aptos Narrow"/>
            </a:rPr>
            <a:pPr algn="l"/>
            <a:t>Tom Brown</a:t>
          </a:fld>
          <a:endParaRPr lang="en-US" sz="1000" b="0" i="0" u="none" strike="noStrike">
            <a:solidFill>
              <a:schemeClr val="tx1"/>
            </a:solidFill>
            <a:latin typeface="kulim"/>
          </a:endParaRPr>
        </a:p>
      </xdr:txBody>
    </xdr:sp>
    <xdr:clientData/>
  </xdr:twoCellAnchor>
  <xdr:twoCellAnchor>
    <xdr:from>
      <xdr:col>8</xdr:col>
      <xdr:colOff>428628</xdr:colOff>
      <xdr:row>10</xdr:row>
      <xdr:rowOff>85725</xdr:rowOff>
    </xdr:from>
    <xdr:to>
      <xdr:col>9</xdr:col>
      <xdr:colOff>609604</xdr:colOff>
      <xdr:row>12</xdr:row>
      <xdr:rowOff>0</xdr:rowOff>
    </xdr:to>
    <xdr:sp macro="" textlink="pivot!$K$6">
      <xdr:nvSpPr>
        <xdr:cNvPr id="60" name="TextBox 59">
          <a:extLst>
            <a:ext uri="{FF2B5EF4-FFF2-40B4-BE49-F238E27FC236}">
              <a16:creationId xmlns:a16="http://schemas.microsoft.com/office/drawing/2014/main" id="{BF10DD27-994E-4F63-8A08-683706F8AEDC}"/>
            </a:ext>
          </a:extLst>
        </xdr:cNvPr>
        <xdr:cNvSpPr txBox="1"/>
      </xdr:nvSpPr>
      <xdr:spPr>
        <a:xfrm>
          <a:off x="5915028" y="189547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B193426-EC56-46E9-9AF0-2806461FAE3D}" type="TxLink">
            <a:rPr lang="en-US" sz="1100" b="0" i="0" u="none" strike="noStrike">
              <a:solidFill>
                <a:srgbClr val="000000"/>
              </a:solidFill>
              <a:latin typeface="Aptos Narrow"/>
            </a:rPr>
            <a:pPr algn="l"/>
            <a:t>Sarah Johnson</a:t>
          </a:fld>
          <a:endParaRPr lang="en-US" sz="1000" b="0" i="0" u="none" strike="noStrike">
            <a:solidFill>
              <a:schemeClr val="tx1"/>
            </a:solidFill>
            <a:latin typeface="kulim"/>
          </a:endParaRPr>
        </a:p>
      </xdr:txBody>
    </xdr:sp>
    <xdr:clientData/>
  </xdr:twoCellAnchor>
  <xdr:twoCellAnchor>
    <xdr:from>
      <xdr:col>8</xdr:col>
      <xdr:colOff>428628</xdr:colOff>
      <xdr:row>11</xdr:row>
      <xdr:rowOff>123825</xdr:rowOff>
    </xdr:from>
    <xdr:to>
      <xdr:col>9</xdr:col>
      <xdr:colOff>609604</xdr:colOff>
      <xdr:row>13</xdr:row>
      <xdr:rowOff>38100</xdr:rowOff>
    </xdr:to>
    <xdr:sp macro="" textlink="pivot!$K$4">
      <xdr:nvSpPr>
        <xdr:cNvPr id="61" name="TextBox 60">
          <a:extLst>
            <a:ext uri="{FF2B5EF4-FFF2-40B4-BE49-F238E27FC236}">
              <a16:creationId xmlns:a16="http://schemas.microsoft.com/office/drawing/2014/main" id="{CF66AAD7-FB6C-4003-B96F-C17BFBC12EF0}"/>
            </a:ext>
          </a:extLst>
        </xdr:cNvPr>
        <xdr:cNvSpPr txBox="1"/>
      </xdr:nvSpPr>
      <xdr:spPr>
        <a:xfrm>
          <a:off x="5915028" y="2114550"/>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368DBAC-3731-4690-8662-C06377044418}" type="TxLink">
            <a:rPr lang="en-US" sz="1100" b="0" i="0" u="none" strike="noStrike">
              <a:solidFill>
                <a:srgbClr val="000000"/>
              </a:solidFill>
              <a:latin typeface="Aptos Narrow"/>
            </a:rPr>
            <a:pPr algn="l"/>
            <a:t>Lisa White</a:t>
          </a:fld>
          <a:endParaRPr lang="en-US" sz="1000" b="0" i="0" u="none" strike="noStrike">
            <a:solidFill>
              <a:schemeClr val="tx1"/>
            </a:solidFill>
            <a:latin typeface="kulim"/>
          </a:endParaRPr>
        </a:p>
      </xdr:txBody>
    </xdr:sp>
    <xdr:clientData/>
  </xdr:twoCellAnchor>
  <xdr:twoCellAnchor>
    <xdr:from>
      <xdr:col>8</xdr:col>
      <xdr:colOff>428628</xdr:colOff>
      <xdr:row>12</xdr:row>
      <xdr:rowOff>161925</xdr:rowOff>
    </xdr:from>
    <xdr:to>
      <xdr:col>9</xdr:col>
      <xdr:colOff>609604</xdr:colOff>
      <xdr:row>14</xdr:row>
      <xdr:rowOff>76200</xdr:rowOff>
    </xdr:to>
    <xdr:sp macro="" textlink="pivot!K5">
      <xdr:nvSpPr>
        <xdr:cNvPr id="62" name="TextBox 61">
          <a:extLst>
            <a:ext uri="{FF2B5EF4-FFF2-40B4-BE49-F238E27FC236}">
              <a16:creationId xmlns:a16="http://schemas.microsoft.com/office/drawing/2014/main" id="{BB98CD52-3AD6-46BB-9787-2100B296EC65}"/>
            </a:ext>
          </a:extLst>
        </xdr:cNvPr>
        <xdr:cNvSpPr txBox="1"/>
      </xdr:nvSpPr>
      <xdr:spPr>
        <a:xfrm>
          <a:off x="5915028" y="233362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9E4E1DA-66D5-481E-BCE3-57F0105BB935}" type="TxLink">
            <a:rPr lang="en-US" sz="1100" b="0" i="0" u="none" strike="noStrike">
              <a:solidFill>
                <a:srgbClr val="000000"/>
              </a:solidFill>
              <a:latin typeface="Aptos Narrow"/>
            </a:rPr>
            <a:pPr algn="l"/>
            <a:t>Mark Davis</a:t>
          </a:fld>
          <a:endParaRPr lang="en-US" sz="1100" b="0" i="0" u="none" strike="noStrike">
            <a:solidFill>
              <a:srgbClr val="000000"/>
            </a:solidFill>
            <a:latin typeface="Aptos Narrow"/>
          </a:endParaRPr>
        </a:p>
      </xdr:txBody>
    </xdr:sp>
    <xdr:clientData/>
  </xdr:twoCellAnchor>
  <xdr:twoCellAnchor>
    <xdr:from>
      <xdr:col>9</xdr:col>
      <xdr:colOff>609603</xdr:colOff>
      <xdr:row>9</xdr:row>
      <xdr:rowOff>47625</xdr:rowOff>
    </xdr:from>
    <xdr:to>
      <xdr:col>11</xdr:col>
      <xdr:colOff>104779</xdr:colOff>
      <xdr:row>10</xdr:row>
      <xdr:rowOff>142875</xdr:rowOff>
    </xdr:to>
    <xdr:sp macro="" textlink="pivot!$L$7">
      <xdr:nvSpPr>
        <xdr:cNvPr id="63" name="TextBox 62">
          <a:extLst>
            <a:ext uri="{FF2B5EF4-FFF2-40B4-BE49-F238E27FC236}">
              <a16:creationId xmlns:a16="http://schemas.microsoft.com/office/drawing/2014/main" id="{9400867A-E890-41B0-A84A-9343CBAE864A}"/>
            </a:ext>
          </a:extLst>
        </xdr:cNvPr>
        <xdr:cNvSpPr txBox="1"/>
      </xdr:nvSpPr>
      <xdr:spPr>
        <a:xfrm>
          <a:off x="6781803" y="1676400"/>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CE227C5-EF37-49DB-A233-B0320B41F74D}" type="TxLink">
            <a:rPr lang="en-US" sz="1200" b="1" i="0" u="none" strike="noStrike">
              <a:solidFill>
                <a:srgbClr val="000000"/>
              </a:solidFill>
              <a:latin typeface="Aptos Narrow"/>
            </a:rPr>
            <a:pPr algn="r"/>
            <a:t> ₹ 64,551 </a:t>
          </a:fld>
          <a:endParaRPr lang="en-US" sz="1050" b="1" i="0" u="none" strike="noStrike">
            <a:solidFill>
              <a:schemeClr val="tx1"/>
            </a:solidFill>
            <a:latin typeface="kulim"/>
          </a:endParaRPr>
        </a:p>
      </xdr:txBody>
    </xdr:sp>
    <xdr:clientData/>
  </xdr:twoCellAnchor>
  <xdr:twoCellAnchor>
    <xdr:from>
      <xdr:col>9</xdr:col>
      <xdr:colOff>609603</xdr:colOff>
      <xdr:row>10</xdr:row>
      <xdr:rowOff>85725</xdr:rowOff>
    </xdr:from>
    <xdr:to>
      <xdr:col>11</xdr:col>
      <xdr:colOff>104779</xdr:colOff>
      <xdr:row>12</xdr:row>
      <xdr:rowOff>0</xdr:rowOff>
    </xdr:to>
    <xdr:sp macro="" textlink="pivot!$L$6">
      <xdr:nvSpPr>
        <xdr:cNvPr id="64" name="TextBox 63">
          <a:extLst>
            <a:ext uri="{FF2B5EF4-FFF2-40B4-BE49-F238E27FC236}">
              <a16:creationId xmlns:a16="http://schemas.microsoft.com/office/drawing/2014/main" id="{9BE69CE7-CE6F-42C0-AF56-8B5E9D47ECAE}"/>
            </a:ext>
          </a:extLst>
        </xdr:cNvPr>
        <xdr:cNvSpPr txBox="1"/>
      </xdr:nvSpPr>
      <xdr:spPr>
        <a:xfrm>
          <a:off x="6781803" y="189547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5E63BAE-310F-4EF8-AF8C-3B271FE033EC}" type="TxLink">
            <a:rPr lang="en-US" sz="1200" b="1" i="0" u="none" strike="noStrike">
              <a:solidFill>
                <a:srgbClr val="000000"/>
              </a:solidFill>
              <a:latin typeface="Aptos Narrow"/>
            </a:rPr>
            <a:pPr algn="r"/>
            <a:t> ₹ 52,442 </a:t>
          </a:fld>
          <a:endParaRPr lang="en-US" sz="1050" b="1" i="0" u="none" strike="noStrike">
            <a:solidFill>
              <a:schemeClr val="tx1"/>
            </a:solidFill>
            <a:latin typeface="kulim"/>
          </a:endParaRPr>
        </a:p>
      </xdr:txBody>
    </xdr:sp>
    <xdr:clientData/>
  </xdr:twoCellAnchor>
  <xdr:twoCellAnchor>
    <xdr:from>
      <xdr:col>9</xdr:col>
      <xdr:colOff>609603</xdr:colOff>
      <xdr:row>11</xdr:row>
      <xdr:rowOff>123825</xdr:rowOff>
    </xdr:from>
    <xdr:to>
      <xdr:col>11</xdr:col>
      <xdr:colOff>104779</xdr:colOff>
      <xdr:row>13</xdr:row>
      <xdr:rowOff>38100</xdr:rowOff>
    </xdr:to>
    <xdr:sp macro="" textlink="pivot!$L$4">
      <xdr:nvSpPr>
        <xdr:cNvPr id="65" name="TextBox 64">
          <a:extLst>
            <a:ext uri="{FF2B5EF4-FFF2-40B4-BE49-F238E27FC236}">
              <a16:creationId xmlns:a16="http://schemas.microsoft.com/office/drawing/2014/main" id="{78670CE0-10FE-4575-8AA3-B097F63BB323}"/>
            </a:ext>
          </a:extLst>
        </xdr:cNvPr>
        <xdr:cNvSpPr txBox="1"/>
      </xdr:nvSpPr>
      <xdr:spPr>
        <a:xfrm>
          <a:off x="6781803" y="2114550"/>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736A513-CA3D-4676-8892-FBBC276BF5DE}" type="TxLink">
            <a:rPr lang="en-US" sz="1200" b="1" i="0" u="none" strike="noStrike">
              <a:solidFill>
                <a:srgbClr val="000000"/>
              </a:solidFill>
              <a:latin typeface="Aptos Narrow"/>
            </a:rPr>
            <a:pPr algn="r"/>
            <a:t> ₹ 48,099 </a:t>
          </a:fld>
          <a:endParaRPr lang="en-US" sz="1050" b="1" i="0" u="none" strike="noStrike">
            <a:solidFill>
              <a:schemeClr val="tx1"/>
            </a:solidFill>
            <a:latin typeface="kulim"/>
          </a:endParaRPr>
        </a:p>
      </xdr:txBody>
    </xdr:sp>
    <xdr:clientData/>
  </xdr:twoCellAnchor>
  <xdr:twoCellAnchor>
    <xdr:from>
      <xdr:col>9</xdr:col>
      <xdr:colOff>609603</xdr:colOff>
      <xdr:row>12</xdr:row>
      <xdr:rowOff>161925</xdr:rowOff>
    </xdr:from>
    <xdr:to>
      <xdr:col>11</xdr:col>
      <xdr:colOff>104779</xdr:colOff>
      <xdr:row>14</xdr:row>
      <xdr:rowOff>76200</xdr:rowOff>
    </xdr:to>
    <xdr:sp macro="" textlink="pivot!$L$5">
      <xdr:nvSpPr>
        <xdr:cNvPr id="66" name="TextBox 65">
          <a:extLst>
            <a:ext uri="{FF2B5EF4-FFF2-40B4-BE49-F238E27FC236}">
              <a16:creationId xmlns:a16="http://schemas.microsoft.com/office/drawing/2014/main" id="{3E23C54F-5156-415D-B273-D3DAB2A02A05}"/>
            </a:ext>
          </a:extLst>
        </xdr:cNvPr>
        <xdr:cNvSpPr txBox="1"/>
      </xdr:nvSpPr>
      <xdr:spPr>
        <a:xfrm>
          <a:off x="6781803" y="2333625"/>
          <a:ext cx="8667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B739A24-3F00-4021-B65B-17937C13165E}" type="TxLink">
            <a:rPr lang="en-US" sz="1200" b="1" i="0" u="none" strike="noStrike">
              <a:solidFill>
                <a:srgbClr val="000000"/>
              </a:solidFill>
              <a:latin typeface="Aptos Narrow"/>
            </a:rPr>
            <a:pPr algn="r"/>
            <a:t> ₹ 43,680 </a:t>
          </a:fld>
          <a:endParaRPr lang="en-US" sz="1200" b="1" i="0" u="none" strike="noStrike">
            <a:solidFill>
              <a:srgbClr val="000000"/>
            </a:solidFill>
            <a:latin typeface="Aptos Narrow"/>
          </a:endParaRPr>
        </a:p>
      </xdr:txBody>
    </xdr:sp>
    <xdr:clientData/>
  </xdr:twoCellAnchor>
  <xdr:twoCellAnchor>
    <xdr:from>
      <xdr:col>8</xdr:col>
      <xdr:colOff>314325</xdr:colOff>
      <xdr:row>9</xdr:row>
      <xdr:rowOff>133350</xdr:rowOff>
    </xdr:from>
    <xdr:to>
      <xdr:col>8</xdr:col>
      <xdr:colOff>447675</xdr:colOff>
      <xdr:row>10</xdr:row>
      <xdr:rowOff>76200</xdr:rowOff>
    </xdr:to>
    <xdr:sp macro="" textlink="">
      <xdr:nvSpPr>
        <xdr:cNvPr id="68" name="Oval 67">
          <a:extLst>
            <a:ext uri="{FF2B5EF4-FFF2-40B4-BE49-F238E27FC236}">
              <a16:creationId xmlns:a16="http://schemas.microsoft.com/office/drawing/2014/main" id="{726F2BD6-8260-4017-A43C-639E3500DCC7}"/>
            </a:ext>
          </a:extLst>
        </xdr:cNvPr>
        <xdr:cNvSpPr/>
      </xdr:nvSpPr>
      <xdr:spPr>
        <a:xfrm>
          <a:off x="5800725" y="1762125"/>
          <a:ext cx="133350" cy="1238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323850</xdr:colOff>
      <xdr:row>10</xdr:row>
      <xdr:rowOff>171450</xdr:rowOff>
    </xdr:from>
    <xdr:to>
      <xdr:col>8</xdr:col>
      <xdr:colOff>457200</xdr:colOff>
      <xdr:row>11</xdr:row>
      <xdr:rowOff>114300</xdr:rowOff>
    </xdr:to>
    <xdr:sp macro="" textlink="">
      <xdr:nvSpPr>
        <xdr:cNvPr id="70" name="Oval 69">
          <a:extLst>
            <a:ext uri="{FF2B5EF4-FFF2-40B4-BE49-F238E27FC236}">
              <a16:creationId xmlns:a16="http://schemas.microsoft.com/office/drawing/2014/main" id="{28618B6D-E51F-420E-8E1F-73D99C20A030}"/>
            </a:ext>
          </a:extLst>
        </xdr:cNvPr>
        <xdr:cNvSpPr/>
      </xdr:nvSpPr>
      <xdr:spPr>
        <a:xfrm>
          <a:off x="5810250" y="1981200"/>
          <a:ext cx="133350" cy="1238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333375</xdr:colOff>
      <xdr:row>12</xdr:row>
      <xdr:rowOff>28575</xdr:rowOff>
    </xdr:from>
    <xdr:to>
      <xdr:col>8</xdr:col>
      <xdr:colOff>466725</xdr:colOff>
      <xdr:row>12</xdr:row>
      <xdr:rowOff>152400</xdr:rowOff>
    </xdr:to>
    <xdr:sp macro="" textlink="">
      <xdr:nvSpPr>
        <xdr:cNvPr id="71" name="Oval 70">
          <a:extLst>
            <a:ext uri="{FF2B5EF4-FFF2-40B4-BE49-F238E27FC236}">
              <a16:creationId xmlns:a16="http://schemas.microsoft.com/office/drawing/2014/main" id="{1D5BD5D2-8919-4C8A-B1E7-00C2BF92F8CA}"/>
            </a:ext>
          </a:extLst>
        </xdr:cNvPr>
        <xdr:cNvSpPr/>
      </xdr:nvSpPr>
      <xdr:spPr>
        <a:xfrm>
          <a:off x="5819775" y="2200275"/>
          <a:ext cx="133350" cy="1238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342900</xdr:colOff>
      <xdr:row>13</xdr:row>
      <xdr:rowOff>66675</xdr:rowOff>
    </xdr:from>
    <xdr:to>
      <xdr:col>8</xdr:col>
      <xdr:colOff>476250</xdr:colOff>
      <xdr:row>14</xdr:row>
      <xdr:rowOff>9525</xdr:rowOff>
    </xdr:to>
    <xdr:sp macro="" textlink="">
      <xdr:nvSpPr>
        <xdr:cNvPr id="72" name="Oval 71">
          <a:extLst>
            <a:ext uri="{FF2B5EF4-FFF2-40B4-BE49-F238E27FC236}">
              <a16:creationId xmlns:a16="http://schemas.microsoft.com/office/drawing/2014/main" id="{576B7FB5-59DC-4C73-8664-3668B766352F}"/>
            </a:ext>
          </a:extLst>
        </xdr:cNvPr>
        <xdr:cNvSpPr/>
      </xdr:nvSpPr>
      <xdr:spPr>
        <a:xfrm>
          <a:off x="5829300" y="2419350"/>
          <a:ext cx="133350" cy="1238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276225</xdr:colOff>
      <xdr:row>14</xdr:row>
      <xdr:rowOff>114300</xdr:rowOff>
    </xdr:from>
    <xdr:to>
      <xdr:col>8</xdr:col>
      <xdr:colOff>571501</xdr:colOff>
      <xdr:row>22</xdr:row>
      <xdr:rowOff>161925</xdr:rowOff>
    </xdr:to>
    <xdr:sp macro="" textlink="">
      <xdr:nvSpPr>
        <xdr:cNvPr id="73" name="Rectangle: Rounded Corners 72">
          <a:extLst>
            <a:ext uri="{FF2B5EF4-FFF2-40B4-BE49-F238E27FC236}">
              <a16:creationId xmlns:a16="http://schemas.microsoft.com/office/drawing/2014/main" id="{2133D509-8459-4364-B510-509C80F5BA0D}"/>
            </a:ext>
          </a:extLst>
        </xdr:cNvPr>
        <xdr:cNvSpPr/>
      </xdr:nvSpPr>
      <xdr:spPr>
        <a:xfrm>
          <a:off x="3019425" y="2647950"/>
          <a:ext cx="3038476" cy="1495425"/>
        </a:xfrm>
        <a:prstGeom prst="roundRect">
          <a:avLst>
            <a:gd name="adj" fmla="val 5424"/>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361952</xdr:colOff>
      <xdr:row>15</xdr:row>
      <xdr:rowOff>85724</xdr:rowOff>
    </xdr:from>
    <xdr:to>
      <xdr:col>8</xdr:col>
      <xdr:colOff>581025</xdr:colOff>
      <xdr:row>22</xdr:row>
      <xdr:rowOff>104774</xdr:rowOff>
    </xdr:to>
    <xdr:graphicFrame macro="">
      <xdr:nvGraphicFramePr>
        <xdr:cNvPr id="74" name="Chart 73">
          <a:extLst>
            <a:ext uri="{FF2B5EF4-FFF2-40B4-BE49-F238E27FC236}">
              <a16:creationId xmlns:a16="http://schemas.microsoft.com/office/drawing/2014/main" id="{6E1CDFC9-3ACC-49D5-93F3-E1D628413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28574</xdr:colOff>
      <xdr:row>14</xdr:row>
      <xdr:rowOff>85725</xdr:rowOff>
    </xdr:from>
    <xdr:to>
      <xdr:col>6</xdr:col>
      <xdr:colOff>438149</xdr:colOff>
      <xdr:row>16</xdr:row>
      <xdr:rowOff>0</xdr:rowOff>
    </xdr:to>
    <xdr:sp macro="" textlink="">
      <xdr:nvSpPr>
        <xdr:cNvPr id="75" name="TextBox 74">
          <a:extLst>
            <a:ext uri="{FF2B5EF4-FFF2-40B4-BE49-F238E27FC236}">
              <a16:creationId xmlns:a16="http://schemas.microsoft.com/office/drawing/2014/main" id="{2DA489EC-A80C-44F3-87E3-794194929340}"/>
            </a:ext>
          </a:extLst>
        </xdr:cNvPr>
        <xdr:cNvSpPr txBox="1"/>
      </xdr:nvSpPr>
      <xdr:spPr>
        <a:xfrm>
          <a:off x="2771774" y="2619375"/>
          <a:ext cx="1781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mn-lt"/>
            </a:rPr>
            <a:t> Total</a:t>
          </a:r>
          <a:r>
            <a:rPr lang="en-US" sz="1000" b="1" i="0" u="none" strike="noStrike" baseline="0">
              <a:solidFill>
                <a:schemeClr val="tx1"/>
              </a:solidFill>
              <a:latin typeface="+mn-lt"/>
            </a:rPr>
            <a:t> sale by Month</a:t>
          </a:r>
          <a:endParaRPr lang="en-US" sz="1000" b="1" i="0" u="none" strike="noStrike">
            <a:solidFill>
              <a:schemeClr val="tx1"/>
            </a:solidFill>
            <a:latin typeface="+mn-lt"/>
          </a:endParaRPr>
        </a:p>
      </xdr:txBody>
    </xdr:sp>
    <xdr:clientData/>
  </xdr:twoCellAnchor>
  <xdr:twoCellAnchor>
    <xdr:from>
      <xdr:col>8</xdr:col>
      <xdr:colOff>676275</xdr:colOff>
      <xdr:row>14</xdr:row>
      <xdr:rowOff>123825</xdr:rowOff>
    </xdr:from>
    <xdr:to>
      <xdr:col>11</xdr:col>
      <xdr:colOff>361950</xdr:colOff>
      <xdr:row>22</xdr:row>
      <xdr:rowOff>161925</xdr:rowOff>
    </xdr:to>
    <xdr:sp macro="" textlink="">
      <xdr:nvSpPr>
        <xdr:cNvPr id="76" name="Rectangle: Rounded Corners 75">
          <a:extLst>
            <a:ext uri="{FF2B5EF4-FFF2-40B4-BE49-F238E27FC236}">
              <a16:creationId xmlns:a16="http://schemas.microsoft.com/office/drawing/2014/main" id="{4052D196-3B2C-41F6-BCCF-9C92B0EFB001}"/>
            </a:ext>
          </a:extLst>
        </xdr:cNvPr>
        <xdr:cNvSpPr/>
      </xdr:nvSpPr>
      <xdr:spPr>
        <a:xfrm>
          <a:off x="6162675" y="2657475"/>
          <a:ext cx="1743075" cy="1485900"/>
        </a:xfrm>
        <a:prstGeom prst="roundRect">
          <a:avLst>
            <a:gd name="adj" fmla="val 5424"/>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380999</xdr:colOff>
      <xdr:row>14</xdr:row>
      <xdr:rowOff>123825</xdr:rowOff>
    </xdr:from>
    <xdr:to>
      <xdr:col>10</xdr:col>
      <xdr:colOff>485775</xdr:colOff>
      <xdr:row>16</xdr:row>
      <xdr:rowOff>38100</xdr:rowOff>
    </xdr:to>
    <xdr:sp macro="" textlink="">
      <xdr:nvSpPr>
        <xdr:cNvPr id="77" name="TextBox 76">
          <a:extLst>
            <a:ext uri="{FF2B5EF4-FFF2-40B4-BE49-F238E27FC236}">
              <a16:creationId xmlns:a16="http://schemas.microsoft.com/office/drawing/2014/main" id="{031E068D-4219-4AC4-8F2C-49858CBE13B3}"/>
            </a:ext>
          </a:extLst>
        </xdr:cNvPr>
        <xdr:cNvSpPr txBox="1"/>
      </xdr:nvSpPr>
      <xdr:spPr>
        <a:xfrm>
          <a:off x="5867399" y="2657475"/>
          <a:ext cx="14763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mn-lt"/>
            </a:rPr>
            <a:t> Top</a:t>
          </a:r>
          <a:r>
            <a:rPr lang="en-US" sz="1000" b="1" i="0" u="none" strike="noStrike" baseline="0">
              <a:solidFill>
                <a:schemeClr val="tx1"/>
              </a:solidFill>
              <a:latin typeface="+mn-lt"/>
            </a:rPr>
            <a:t> 4 Sellers</a:t>
          </a:r>
          <a:endParaRPr lang="en-US" sz="1000" b="1" i="0" u="none" strike="noStrike">
            <a:solidFill>
              <a:schemeClr val="tx1"/>
            </a:solidFill>
            <a:latin typeface="+mn-lt"/>
          </a:endParaRPr>
        </a:p>
      </xdr:txBody>
    </xdr:sp>
    <xdr:clientData/>
  </xdr:twoCellAnchor>
  <xdr:twoCellAnchor>
    <xdr:from>
      <xdr:col>9</xdr:col>
      <xdr:colOff>314324</xdr:colOff>
      <xdr:row>16</xdr:row>
      <xdr:rowOff>0</xdr:rowOff>
    </xdr:from>
    <xdr:to>
      <xdr:col>10</xdr:col>
      <xdr:colOff>295275</xdr:colOff>
      <xdr:row>17</xdr:row>
      <xdr:rowOff>95250</xdr:rowOff>
    </xdr:to>
    <xdr:sp macro="" textlink="pivot!$Q$4">
      <xdr:nvSpPr>
        <xdr:cNvPr id="78" name="TextBox 77">
          <a:extLst>
            <a:ext uri="{FF2B5EF4-FFF2-40B4-BE49-F238E27FC236}">
              <a16:creationId xmlns:a16="http://schemas.microsoft.com/office/drawing/2014/main" id="{E00A766F-6151-4E36-83A1-B9CF8E379BF0}"/>
            </a:ext>
          </a:extLst>
        </xdr:cNvPr>
        <xdr:cNvSpPr txBox="1"/>
      </xdr:nvSpPr>
      <xdr:spPr>
        <a:xfrm>
          <a:off x="6486524" y="2895600"/>
          <a:ext cx="6667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31D6F01-5308-4C34-9BD2-9A490C5E9F88}" type="TxLink">
            <a:rPr lang="en-US" sz="1100" b="0" i="0" u="none" strike="noStrike">
              <a:solidFill>
                <a:srgbClr val="000000"/>
              </a:solidFill>
              <a:latin typeface="Aptos Narrow"/>
            </a:rPr>
            <a:pPr algn="l"/>
            <a:t>Eve</a:t>
          </a:fld>
          <a:endParaRPr lang="en-US" sz="1000" b="0" i="0" u="none" strike="noStrike">
            <a:solidFill>
              <a:schemeClr val="tx1"/>
            </a:solidFill>
            <a:latin typeface="kulim"/>
          </a:endParaRPr>
        </a:p>
      </xdr:txBody>
    </xdr:sp>
    <xdr:clientData/>
  </xdr:twoCellAnchor>
  <xdr:twoCellAnchor>
    <xdr:from>
      <xdr:col>10</xdr:col>
      <xdr:colOff>57149</xdr:colOff>
      <xdr:row>16</xdr:row>
      <xdr:rowOff>0</xdr:rowOff>
    </xdr:from>
    <xdr:to>
      <xdr:col>11</xdr:col>
      <xdr:colOff>304799</xdr:colOff>
      <xdr:row>17</xdr:row>
      <xdr:rowOff>95250</xdr:rowOff>
    </xdr:to>
    <xdr:sp macro="" textlink="pivot!$R$4">
      <xdr:nvSpPr>
        <xdr:cNvPr id="79" name="TextBox 78">
          <a:extLst>
            <a:ext uri="{FF2B5EF4-FFF2-40B4-BE49-F238E27FC236}">
              <a16:creationId xmlns:a16="http://schemas.microsoft.com/office/drawing/2014/main" id="{67D2EA14-94FF-4147-BDC3-7BA65FA0059B}"/>
            </a:ext>
          </a:extLst>
        </xdr:cNvPr>
        <xdr:cNvSpPr txBox="1"/>
      </xdr:nvSpPr>
      <xdr:spPr>
        <a:xfrm>
          <a:off x="6915149" y="2895600"/>
          <a:ext cx="933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7C172B7-CBAF-4DB9-99E7-6693273501DE}" type="TxLink">
            <a:rPr lang="en-US" sz="1100" b="1" i="0" u="none" strike="noStrike">
              <a:solidFill>
                <a:srgbClr val="000000"/>
              </a:solidFill>
              <a:latin typeface="Aptos Narrow"/>
            </a:rPr>
            <a:pPr algn="r"/>
            <a:t> ₹ 55,711 </a:t>
          </a:fld>
          <a:endParaRPr lang="en-US" sz="1050" b="1" i="0" u="none" strike="noStrike">
            <a:solidFill>
              <a:schemeClr val="tx1"/>
            </a:solidFill>
            <a:latin typeface="kulim"/>
          </a:endParaRPr>
        </a:p>
      </xdr:txBody>
    </xdr:sp>
    <xdr:clientData/>
  </xdr:twoCellAnchor>
  <xdr:twoCellAnchor>
    <xdr:from>
      <xdr:col>9</xdr:col>
      <xdr:colOff>101110</xdr:colOff>
      <xdr:row>16</xdr:row>
      <xdr:rowOff>76200</xdr:rowOff>
    </xdr:from>
    <xdr:to>
      <xdr:col>9</xdr:col>
      <xdr:colOff>228599</xdr:colOff>
      <xdr:row>17</xdr:row>
      <xdr:rowOff>19050</xdr:rowOff>
    </xdr:to>
    <xdr:sp macro="" textlink="">
      <xdr:nvSpPr>
        <xdr:cNvPr id="80" name="Oval 79">
          <a:extLst>
            <a:ext uri="{FF2B5EF4-FFF2-40B4-BE49-F238E27FC236}">
              <a16:creationId xmlns:a16="http://schemas.microsoft.com/office/drawing/2014/main" id="{28CA9714-1603-412B-BE24-6F331624ED78}"/>
            </a:ext>
          </a:extLst>
        </xdr:cNvPr>
        <xdr:cNvSpPr/>
      </xdr:nvSpPr>
      <xdr:spPr>
        <a:xfrm>
          <a:off x="6273310" y="2971800"/>
          <a:ext cx="127489" cy="1238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323849</xdr:colOff>
      <xdr:row>17</xdr:row>
      <xdr:rowOff>152400</xdr:rowOff>
    </xdr:from>
    <xdr:to>
      <xdr:col>10</xdr:col>
      <xdr:colOff>304800</xdr:colOff>
      <xdr:row>19</xdr:row>
      <xdr:rowOff>66675</xdr:rowOff>
    </xdr:to>
    <xdr:sp macro="" textlink="pivot!$Q$5">
      <xdr:nvSpPr>
        <xdr:cNvPr id="81" name="TextBox 80">
          <a:extLst>
            <a:ext uri="{FF2B5EF4-FFF2-40B4-BE49-F238E27FC236}">
              <a16:creationId xmlns:a16="http://schemas.microsoft.com/office/drawing/2014/main" id="{F8F7C101-A90E-4FDD-84BB-92A53F090518}"/>
            </a:ext>
          </a:extLst>
        </xdr:cNvPr>
        <xdr:cNvSpPr txBox="1"/>
      </xdr:nvSpPr>
      <xdr:spPr>
        <a:xfrm>
          <a:off x="6496049" y="3228975"/>
          <a:ext cx="6667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877E9AE-E8BE-4DEE-942D-9C74F15A6813}" type="TxLink">
            <a:rPr lang="en-US" sz="1100" b="0" i="0" u="none" strike="noStrike">
              <a:solidFill>
                <a:srgbClr val="000000"/>
              </a:solidFill>
              <a:latin typeface="Aptos Narrow"/>
            </a:rPr>
            <a:pPr algn="l"/>
            <a:t>Alice</a:t>
          </a:fld>
          <a:endParaRPr lang="en-US" sz="1000" b="0" i="0" u="none" strike="noStrike">
            <a:solidFill>
              <a:schemeClr val="tx1"/>
            </a:solidFill>
            <a:latin typeface="kulim"/>
          </a:endParaRPr>
        </a:p>
      </xdr:txBody>
    </xdr:sp>
    <xdr:clientData/>
  </xdr:twoCellAnchor>
  <xdr:twoCellAnchor>
    <xdr:from>
      <xdr:col>10</xdr:col>
      <xdr:colOff>38099</xdr:colOff>
      <xdr:row>17</xdr:row>
      <xdr:rowOff>152400</xdr:rowOff>
    </xdr:from>
    <xdr:to>
      <xdr:col>11</xdr:col>
      <xdr:colOff>304799</xdr:colOff>
      <xdr:row>19</xdr:row>
      <xdr:rowOff>66675</xdr:rowOff>
    </xdr:to>
    <xdr:sp macro="" textlink="pivot!$R$5">
      <xdr:nvSpPr>
        <xdr:cNvPr id="82" name="TextBox 81">
          <a:extLst>
            <a:ext uri="{FF2B5EF4-FFF2-40B4-BE49-F238E27FC236}">
              <a16:creationId xmlns:a16="http://schemas.microsoft.com/office/drawing/2014/main" id="{09212276-729A-4CBE-BB11-C065E1B76489}"/>
            </a:ext>
          </a:extLst>
        </xdr:cNvPr>
        <xdr:cNvSpPr txBox="1"/>
      </xdr:nvSpPr>
      <xdr:spPr>
        <a:xfrm>
          <a:off x="6896099" y="3228975"/>
          <a:ext cx="9525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5A35CCB-41B3-4F5F-AB8B-30FFA3C7EFA3}" type="TxLink">
            <a:rPr lang="en-US" sz="1100" b="1" i="0" u="none" strike="noStrike">
              <a:solidFill>
                <a:srgbClr val="000000"/>
              </a:solidFill>
              <a:latin typeface="Aptos Narrow"/>
            </a:rPr>
            <a:pPr algn="r"/>
            <a:t> ₹ 45,223 </a:t>
          </a:fld>
          <a:endParaRPr lang="en-US" sz="1050" b="1" i="0" u="none" strike="noStrike">
            <a:solidFill>
              <a:schemeClr val="tx1"/>
            </a:solidFill>
            <a:latin typeface="kulim"/>
          </a:endParaRPr>
        </a:p>
      </xdr:txBody>
    </xdr:sp>
    <xdr:clientData/>
  </xdr:twoCellAnchor>
  <xdr:twoCellAnchor>
    <xdr:from>
      <xdr:col>9</xdr:col>
      <xdr:colOff>110635</xdr:colOff>
      <xdr:row>18</xdr:row>
      <xdr:rowOff>47625</xdr:rowOff>
    </xdr:from>
    <xdr:to>
      <xdr:col>9</xdr:col>
      <xdr:colOff>238124</xdr:colOff>
      <xdr:row>18</xdr:row>
      <xdr:rowOff>171450</xdr:rowOff>
    </xdr:to>
    <xdr:sp macro="" textlink="">
      <xdr:nvSpPr>
        <xdr:cNvPr id="83" name="Oval 82">
          <a:extLst>
            <a:ext uri="{FF2B5EF4-FFF2-40B4-BE49-F238E27FC236}">
              <a16:creationId xmlns:a16="http://schemas.microsoft.com/office/drawing/2014/main" id="{A8A8F17E-4762-4C74-A923-A93DD4ACF787}"/>
            </a:ext>
          </a:extLst>
        </xdr:cNvPr>
        <xdr:cNvSpPr/>
      </xdr:nvSpPr>
      <xdr:spPr>
        <a:xfrm>
          <a:off x="6282835" y="3305175"/>
          <a:ext cx="127489" cy="1238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333374</xdr:colOff>
      <xdr:row>19</xdr:row>
      <xdr:rowOff>123825</xdr:rowOff>
    </xdr:from>
    <xdr:to>
      <xdr:col>10</xdr:col>
      <xdr:colOff>314325</xdr:colOff>
      <xdr:row>21</xdr:row>
      <xdr:rowOff>38100</xdr:rowOff>
    </xdr:to>
    <xdr:sp macro="" textlink="pivot!$Q$6">
      <xdr:nvSpPr>
        <xdr:cNvPr id="84" name="TextBox 83">
          <a:extLst>
            <a:ext uri="{FF2B5EF4-FFF2-40B4-BE49-F238E27FC236}">
              <a16:creationId xmlns:a16="http://schemas.microsoft.com/office/drawing/2014/main" id="{71D56542-8BBE-4513-9581-C0FB749C6BBD}"/>
            </a:ext>
          </a:extLst>
        </xdr:cNvPr>
        <xdr:cNvSpPr txBox="1"/>
      </xdr:nvSpPr>
      <xdr:spPr>
        <a:xfrm>
          <a:off x="6505574" y="3562350"/>
          <a:ext cx="6667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B4696B7-6A9B-46F0-A5E7-6AE0AF266241}" type="TxLink">
            <a:rPr lang="en-US" sz="1100" b="0" i="0" u="none" strike="noStrike">
              <a:solidFill>
                <a:srgbClr val="000000"/>
              </a:solidFill>
              <a:latin typeface="Aptos Narrow"/>
            </a:rPr>
            <a:pPr algn="l"/>
            <a:t>Bob</a:t>
          </a:fld>
          <a:endParaRPr lang="en-US" sz="1000" b="0" i="0" u="none" strike="noStrike">
            <a:solidFill>
              <a:schemeClr val="tx1"/>
            </a:solidFill>
            <a:latin typeface="kulim"/>
          </a:endParaRPr>
        </a:p>
      </xdr:txBody>
    </xdr:sp>
    <xdr:clientData/>
  </xdr:twoCellAnchor>
  <xdr:twoCellAnchor>
    <xdr:from>
      <xdr:col>10</xdr:col>
      <xdr:colOff>9524</xdr:colOff>
      <xdr:row>19</xdr:row>
      <xdr:rowOff>123825</xdr:rowOff>
    </xdr:from>
    <xdr:to>
      <xdr:col>11</xdr:col>
      <xdr:colOff>304799</xdr:colOff>
      <xdr:row>21</xdr:row>
      <xdr:rowOff>38100</xdr:rowOff>
    </xdr:to>
    <xdr:sp macro="" textlink="pivot!$R$6">
      <xdr:nvSpPr>
        <xdr:cNvPr id="85" name="TextBox 84">
          <a:extLst>
            <a:ext uri="{FF2B5EF4-FFF2-40B4-BE49-F238E27FC236}">
              <a16:creationId xmlns:a16="http://schemas.microsoft.com/office/drawing/2014/main" id="{1A8BAF06-C0B4-4795-83DB-7E6E0BB77F96}"/>
            </a:ext>
          </a:extLst>
        </xdr:cNvPr>
        <xdr:cNvSpPr txBox="1"/>
      </xdr:nvSpPr>
      <xdr:spPr>
        <a:xfrm>
          <a:off x="6867524" y="3562350"/>
          <a:ext cx="9810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4BFAEDD-51AD-43DF-841D-85CA6A44F029}" type="TxLink">
            <a:rPr lang="en-US" sz="1100" b="1" i="0" u="none" strike="noStrike">
              <a:solidFill>
                <a:srgbClr val="000000"/>
              </a:solidFill>
              <a:latin typeface="Aptos Narrow"/>
            </a:rPr>
            <a:pPr algn="r"/>
            <a:t> ₹ 39,607 </a:t>
          </a:fld>
          <a:endParaRPr lang="en-US" sz="1050" b="1" i="0" u="none" strike="noStrike">
            <a:solidFill>
              <a:schemeClr val="tx1"/>
            </a:solidFill>
            <a:latin typeface="kulim"/>
          </a:endParaRPr>
        </a:p>
      </xdr:txBody>
    </xdr:sp>
    <xdr:clientData/>
  </xdr:twoCellAnchor>
  <xdr:twoCellAnchor>
    <xdr:from>
      <xdr:col>9</xdr:col>
      <xdr:colOff>120160</xdr:colOff>
      <xdr:row>20</xdr:row>
      <xdr:rowOff>19050</xdr:rowOff>
    </xdr:from>
    <xdr:to>
      <xdr:col>9</xdr:col>
      <xdr:colOff>247649</xdr:colOff>
      <xdr:row>20</xdr:row>
      <xdr:rowOff>142875</xdr:rowOff>
    </xdr:to>
    <xdr:sp macro="" textlink="">
      <xdr:nvSpPr>
        <xdr:cNvPr id="86" name="Oval 85">
          <a:extLst>
            <a:ext uri="{FF2B5EF4-FFF2-40B4-BE49-F238E27FC236}">
              <a16:creationId xmlns:a16="http://schemas.microsoft.com/office/drawing/2014/main" id="{7455EFB5-912F-4838-BBAA-BDF9F65963B8}"/>
            </a:ext>
          </a:extLst>
        </xdr:cNvPr>
        <xdr:cNvSpPr/>
      </xdr:nvSpPr>
      <xdr:spPr>
        <a:xfrm>
          <a:off x="6292360" y="3638550"/>
          <a:ext cx="127489" cy="1238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342899</xdr:colOff>
      <xdr:row>21</xdr:row>
      <xdr:rowOff>95250</xdr:rowOff>
    </xdr:from>
    <xdr:to>
      <xdr:col>10</xdr:col>
      <xdr:colOff>323850</xdr:colOff>
      <xdr:row>23</xdr:row>
      <xdr:rowOff>9525</xdr:rowOff>
    </xdr:to>
    <xdr:sp macro="" textlink="pivot!$Q$7">
      <xdr:nvSpPr>
        <xdr:cNvPr id="87" name="TextBox 86">
          <a:extLst>
            <a:ext uri="{FF2B5EF4-FFF2-40B4-BE49-F238E27FC236}">
              <a16:creationId xmlns:a16="http://schemas.microsoft.com/office/drawing/2014/main" id="{6EF0E8F3-6DDA-4381-BD2C-E65289D0CB3F}"/>
            </a:ext>
          </a:extLst>
        </xdr:cNvPr>
        <xdr:cNvSpPr txBox="1"/>
      </xdr:nvSpPr>
      <xdr:spPr>
        <a:xfrm>
          <a:off x="6515099" y="3895725"/>
          <a:ext cx="6667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E897EC7-1089-4455-B0F4-08C6207673D0}" type="TxLink">
            <a:rPr lang="en-US" sz="1100" b="0" i="0" u="none" strike="noStrike">
              <a:solidFill>
                <a:srgbClr val="000000"/>
              </a:solidFill>
              <a:latin typeface="Aptos Narrow"/>
            </a:rPr>
            <a:pPr algn="l"/>
            <a:t>Charlie</a:t>
          </a:fld>
          <a:endParaRPr lang="en-US" sz="1000" b="0" i="0" u="none" strike="noStrike">
            <a:solidFill>
              <a:schemeClr val="tx1"/>
            </a:solidFill>
            <a:latin typeface="kulim"/>
          </a:endParaRPr>
        </a:p>
      </xdr:txBody>
    </xdr:sp>
    <xdr:clientData/>
  </xdr:twoCellAnchor>
  <xdr:twoCellAnchor>
    <xdr:from>
      <xdr:col>10</xdr:col>
      <xdr:colOff>9524</xdr:colOff>
      <xdr:row>21</xdr:row>
      <xdr:rowOff>95250</xdr:rowOff>
    </xdr:from>
    <xdr:to>
      <xdr:col>11</xdr:col>
      <xdr:colOff>304799</xdr:colOff>
      <xdr:row>23</xdr:row>
      <xdr:rowOff>9525</xdr:rowOff>
    </xdr:to>
    <xdr:sp macro="" textlink="pivot!$R$7">
      <xdr:nvSpPr>
        <xdr:cNvPr id="88" name="TextBox 87">
          <a:extLst>
            <a:ext uri="{FF2B5EF4-FFF2-40B4-BE49-F238E27FC236}">
              <a16:creationId xmlns:a16="http://schemas.microsoft.com/office/drawing/2014/main" id="{7AC59FAD-CD23-4746-9D4D-4B9340C481A1}"/>
            </a:ext>
          </a:extLst>
        </xdr:cNvPr>
        <xdr:cNvSpPr txBox="1"/>
      </xdr:nvSpPr>
      <xdr:spPr>
        <a:xfrm>
          <a:off x="6867524" y="3895725"/>
          <a:ext cx="9810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C30A10F-0089-4786-A8AE-3BEAD1780B15}" type="TxLink">
            <a:rPr lang="en-US" sz="1100" b="1" i="0" u="none" strike="noStrike">
              <a:solidFill>
                <a:srgbClr val="000000"/>
              </a:solidFill>
              <a:latin typeface="Aptos Narrow"/>
            </a:rPr>
            <a:pPr algn="r"/>
            <a:t> ₹ 35,077 </a:t>
          </a:fld>
          <a:endParaRPr lang="en-US" sz="1050" b="1" i="0" u="none" strike="noStrike">
            <a:solidFill>
              <a:schemeClr val="tx1"/>
            </a:solidFill>
            <a:latin typeface="kulim"/>
          </a:endParaRPr>
        </a:p>
      </xdr:txBody>
    </xdr:sp>
    <xdr:clientData/>
  </xdr:twoCellAnchor>
  <xdr:twoCellAnchor>
    <xdr:from>
      <xdr:col>9</xdr:col>
      <xdr:colOff>129685</xdr:colOff>
      <xdr:row>21</xdr:row>
      <xdr:rowOff>171450</xdr:rowOff>
    </xdr:from>
    <xdr:to>
      <xdr:col>9</xdr:col>
      <xdr:colOff>257174</xdr:colOff>
      <xdr:row>22</xdr:row>
      <xdr:rowOff>114300</xdr:rowOff>
    </xdr:to>
    <xdr:sp macro="" textlink="">
      <xdr:nvSpPr>
        <xdr:cNvPr id="89" name="Oval 88">
          <a:extLst>
            <a:ext uri="{FF2B5EF4-FFF2-40B4-BE49-F238E27FC236}">
              <a16:creationId xmlns:a16="http://schemas.microsoft.com/office/drawing/2014/main" id="{21307837-D719-4E70-975B-F65924C7579B}"/>
            </a:ext>
          </a:extLst>
        </xdr:cNvPr>
        <xdr:cNvSpPr/>
      </xdr:nvSpPr>
      <xdr:spPr>
        <a:xfrm>
          <a:off x="6301885" y="3971925"/>
          <a:ext cx="127489" cy="1238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1</xdr:row>
      <xdr:rowOff>152398</xdr:rowOff>
    </xdr:from>
    <xdr:to>
      <xdr:col>13</xdr:col>
      <xdr:colOff>466725</xdr:colOff>
      <xdr:row>14</xdr:row>
      <xdr:rowOff>85725</xdr:rowOff>
    </xdr:to>
    <xdr:sp macro="" textlink="">
      <xdr:nvSpPr>
        <xdr:cNvPr id="90" name="Rectangle: Rounded Corners 89">
          <a:extLst>
            <a:ext uri="{FF2B5EF4-FFF2-40B4-BE49-F238E27FC236}">
              <a16:creationId xmlns:a16="http://schemas.microsoft.com/office/drawing/2014/main" id="{5783CBB9-6D13-47FD-8F2D-85AFB6DC3886}"/>
            </a:ext>
          </a:extLst>
        </xdr:cNvPr>
        <xdr:cNvSpPr/>
      </xdr:nvSpPr>
      <xdr:spPr>
        <a:xfrm rot="16200000">
          <a:off x="7529512" y="766761"/>
          <a:ext cx="2286002" cy="1419225"/>
        </a:xfrm>
        <a:prstGeom prst="roundRect">
          <a:avLst>
            <a:gd name="adj" fmla="val 5424"/>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238124</xdr:colOff>
      <xdr:row>1</xdr:row>
      <xdr:rowOff>152400</xdr:rowOff>
    </xdr:from>
    <xdr:to>
      <xdr:col>13</xdr:col>
      <xdr:colOff>647699</xdr:colOff>
      <xdr:row>3</xdr:row>
      <xdr:rowOff>66675</xdr:rowOff>
    </xdr:to>
    <xdr:sp macro="" textlink="">
      <xdr:nvSpPr>
        <xdr:cNvPr id="91" name="TextBox 90">
          <a:extLst>
            <a:ext uri="{FF2B5EF4-FFF2-40B4-BE49-F238E27FC236}">
              <a16:creationId xmlns:a16="http://schemas.microsoft.com/office/drawing/2014/main" id="{59968F5C-A66B-47E3-ABB5-BA597CAECFF8}"/>
            </a:ext>
          </a:extLst>
        </xdr:cNvPr>
        <xdr:cNvSpPr txBox="1"/>
      </xdr:nvSpPr>
      <xdr:spPr>
        <a:xfrm>
          <a:off x="7781924" y="333375"/>
          <a:ext cx="17811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mn-lt"/>
            </a:rPr>
            <a:t> Order</a:t>
          </a:r>
          <a:r>
            <a:rPr lang="en-US" sz="1000" b="1" i="0" u="none" strike="noStrike" baseline="0">
              <a:solidFill>
                <a:schemeClr val="tx1"/>
              </a:solidFill>
              <a:latin typeface="+mn-lt"/>
            </a:rPr>
            <a:t> Stauts</a:t>
          </a:r>
          <a:endParaRPr lang="en-US" sz="1000" b="1" i="0" u="none" strike="noStrike">
            <a:solidFill>
              <a:schemeClr val="tx1"/>
            </a:solidFill>
            <a:latin typeface="+mn-lt"/>
          </a:endParaRPr>
        </a:p>
      </xdr:txBody>
    </xdr:sp>
    <xdr:clientData/>
  </xdr:twoCellAnchor>
  <xdr:twoCellAnchor>
    <xdr:from>
      <xdr:col>11</xdr:col>
      <xdr:colOff>628650</xdr:colOff>
      <xdr:row>2</xdr:row>
      <xdr:rowOff>47625</xdr:rowOff>
    </xdr:from>
    <xdr:to>
      <xdr:col>12</xdr:col>
      <xdr:colOff>76200</xdr:colOff>
      <xdr:row>2</xdr:row>
      <xdr:rowOff>171450</xdr:rowOff>
    </xdr:to>
    <xdr:sp macro="" textlink="">
      <xdr:nvSpPr>
        <xdr:cNvPr id="92" name="Oval 91">
          <a:extLst>
            <a:ext uri="{FF2B5EF4-FFF2-40B4-BE49-F238E27FC236}">
              <a16:creationId xmlns:a16="http://schemas.microsoft.com/office/drawing/2014/main" id="{3C5F7C59-A8AC-49CA-A5A5-B8FE6B941378}"/>
            </a:ext>
          </a:extLst>
        </xdr:cNvPr>
        <xdr:cNvSpPr/>
      </xdr:nvSpPr>
      <xdr:spPr>
        <a:xfrm>
          <a:off x="8172450" y="409575"/>
          <a:ext cx="133350" cy="123825"/>
        </a:xfrm>
        <a:prstGeom prst="ellipse">
          <a:avLst/>
        </a:prstGeom>
        <a:solidFill>
          <a:srgbClr val="00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clientData/>
  </xdr:twoCellAnchor>
  <xdr:twoCellAnchor>
    <xdr:from>
      <xdr:col>11</xdr:col>
      <xdr:colOff>381001</xdr:colOff>
      <xdr:row>3</xdr:row>
      <xdr:rowOff>57150</xdr:rowOff>
    </xdr:from>
    <xdr:to>
      <xdr:col>13</xdr:col>
      <xdr:colOff>552450</xdr:colOff>
      <xdr:row>10</xdr:row>
      <xdr:rowOff>95250</xdr:rowOff>
    </xdr:to>
    <xdr:graphicFrame macro="">
      <xdr:nvGraphicFramePr>
        <xdr:cNvPr id="94" name="Chart 93">
          <a:extLst>
            <a:ext uri="{FF2B5EF4-FFF2-40B4-BE49-F238E27FC236}">
              <a16:creationId xmlns:a16="http://schemas.microsoft.com/office/drawing/2014/main" id="{C05DD84C-8775-4934-AD49-07CB8D0B6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533400</xdr:colOff>
      <xdr:row>11</xdr:row>
      <xdr:rowOff>85725</xdr:rowOff>
    </xdr:from>
    <xdr:to>
      <xdr:col>13</xdr:col>
      <xdr:colOff>276225</xdr:colOff>
      <xdr:row>11</xdr:row>
      <xdr:rowOff>85725</xdr:rowOff>
    </xdr:to>
    <xdr:cxnSp macro="">
      <xdr:nvCxnSpPr>
        <xdr:cNvPr id="28" name="Straight Connector 27">
          <a:extLst>
            <a:ext uri="{FF2B5EF4-FFF2-40B4-BE49-F238E27FC236}">
              <a16:creationId xmlns:a16="http://schemas.microsoft.com/office/drawing/2014/main" id="{28AADF36-256B-46DB-A768-07907009DEC6}"/>
            </a:ext>
          </a:extLst>
        </xdr:cNvPr>
        <xdr:cNvCxnSpPr/>
      </xdr:nvCxnSpPr>
      <xdr:spPr>
        <a:xfrm>
          <a:off x="8077200" y="2076450"/>
          <a:ext cx="1114425" cy="0"/>
        </a:xfrm>
        <a:prstGeom prst="line">
          <a:avLst/>
        </a:prstGeom>
        <a:ln>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238124</xdr:colOff>
      <xdr:row>11</xdr:row>
      <xdr:rowOff>95250</xdr:rowOff>
    </xdr:from>
    <xdr:to>
      <xdr:col>13</xdr:col>
      <xdr:colOff>647699</xdr:colOff>
      <xdr:row>14</xdr:row>
      <xdr:rowOff>28575</xdr:rowOff>
    </xdr:to>
    <xdr:sp macro="" textlink="">
      <xdr:nvSpPr>
        <xdr:cNvPr id="96" name="TextBox 95">
          <a:extLst>
            <a:ext uri="{FF2B5EF4-FFF2-40B4-BE49-F238E27FC236}">
              <a16:creationId xmlns:a16="http://schemas.microsoft.com/office/drawing/2014/main" id="{E7A11914-C95C-4AE1-824B-C00D248D51B1}"/>
            </a:ext>
          </a:extLst>
        </xdr:cNvPr>
        <xdr:cNvSpPr txBox="1"/>
      </xdr:nvSpPr>
      <xdr:spPr>
        <a:xfrm>
          <a:off x="7781924" y="2085975"/>
          <a:ext cx="17811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tx1"/>
              </a:solidFill>
              <a:latin typeface="+mn-lt"/>
            </a:rPr>
            <a:t> </a:t>
          </a:r>
          <a:r>
            <a:rPr lang="en-US" sz="1000" b="0" i="0" u="none" strike="noStrike">
              <a:solidFill>
                <a:schemeClr val="tx1"/>
              </a:solidFill>
              <a:latin typeface="+mn-lt"/>
            </a:rPr>
            <a:t>Percentage</a:t>
          </a:r>
          <a:r>
            <a:rPr lang="en-US" sz="1000" b="0" i="0" u="none" strike="noStrike" baseline="0">
              <a:solidFill>
                <a:schemeClr val="tx1"/>
              </a:solidFill>
              <a:latin typeface="+mn-lt"/>
            </a:rPr>
            <a:t> of order based</a:t>
          </a:r>
        </a:p>
        <a:p>
          <a:pPr algn="ctr"/>
          <a:r>
            <a:rPr lang="en-US" sz="1000" b="0" i="0" u="none" strike="noStrike" baseline="0">
              <a:solidFill>
                <a:schemeClr val="tx1"/>
              </a:solidFill>
              <a:latin typeface="+mn-lt"/>
            </a:rPr>
            <a:t> on their order status</a:t>
          </a:r>
          <a:endParaRPr lang="en-US" sz="1000" b="1" i="0" u="none" strike="noStrike">
            <a:solidFill>
              <a:schemeClr val="tx1"/>
            </a:solidFill>
            <a:latin typeface="+mn-lt"/>
          </a:endParaRPr>
        </a:p>
      </xdr:txBody>
    </xdr:sp>
    <xdr:clientData/>
  </xdr:twoCellAnchor>
  <xdr:twoCellAnchor>
    <xdr:from>
      <xdr:col>11</xdr:col>
      <xdr:colOff>419102</xdr:colOff>
      <xdr:row>14</xdr:row>
      <xdr:rowOff>123825</xdr:rowOff>
    </xdr:from>
    <xdr:to>
      <xdr:col>13</xdr:col>
      <xdr:colOff>466727</xdr:colOff>
      <xdr:row>22</xdr:row>
      <xdr:rowOff>161925</xdr:rowOff>
    </xdr:to>
    <xdr:sp macro="" textlink="">
      <xdr:nvSpPr>
        <xdr:cNvPr id="97" name="Rectangle: Rounded Corners 96">
          <a:extLst>
            <a:ext uri="{FF2B5EF4-FFF2-40B4-BE49-F238E27FC236}">
              <a16:creationId xmlns:a16="http://schemas.microsoft.com/office/drawing/2014/main" id="{7F555BCA-6DF1-4CBE-ACDC-EB9515B04602}"/>
            </a:ext>
          </a:extLst>
        </xdr:cNvPr>
        <xdr:cNvSpPr/>
      </xdr:nvSpPr>
      <xdr:spPr>
        <a:xfrm rot="16200000">
          <a:off x="7929565" y="2690812"/>
          <a:ext cx="1485900" cy="1419225"/>
        </a:xfrm>
        <a:prstGeom prst="roundRect">
          <a:avLst>
            <a:gd name="adj" fmla="val 5424"/>
          </a:avLst>
        </a:prstGeom>
        <a:solidFill>
          <a:schemeClr val="bg2">
            <a:lumMod val="75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314324</xdr:colOff>
      <xdr:row>14</xdr:row>
      <xdr:rowOff>66675</xdr:rowOff>
    </xdr:from>
    <xdr:to>
      <xdr:col>12</xdr:col>
      <xdr:colOff>676275</xdr:colOff>
      <xdr:row>18</xdr:row>
      <xdr:rowOff>47625</xdr:rowOff>
    </xdr:to>
    <xdr:sp macro="" textlink="">
      <xdr:nvSpPr>
        <xdr:cNvPr id="98" name="TextBox 97">
          <a:extLst>
            <a:ext uri="{FF2B5EF4-FFF2-40B4-BE49-F238E27FC236}">
              <a16:creationId xmlns:a16="http://schemas.microsoft.com/office/drawing/2014/main" id="{F4776E83-85A0-4EEF-926B-1BA6DBD42DA2}"/>
            </a:ext>
          </a:extLst>
        </xdr:cNvPr>
        <xdr:cNvSpPr txBox="1"/>
      </xdr:nvSpPr>
      <xdr:spPr>
        <a:xfrm>
          <a:off x="7858124" y="2600325"/>
          <a:ext cx="1047751"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tx1"/>
              </a:solidFill>
              <a:latin typeface="+mn-lt"/>
            </a:rPr>
            <a:t> Quantity</a:t>
          </a:r>
          <a:r>
            <a:rPr lang="en-US" sz="1200" b="1" i="0" u="none" strike="noStrike" baseline="0">
              <a:solidFill>
                <a:schemeClr val="tx1"/>
              </a:solidFill>
              <a:latin typeface="+mn-lt"/>
            </a:rPr>
            <a:t> of </a:t>
          </a:r>
        </a:p>
        <a:p>
          <a:pPr algn="ctr"/>
          <a:r>
            <a:rPr lang="en-US" sz="1200" b="1" i="0" u="none" strike="noStrike" baseline="0">
              <a:solidFill>
                <a:schemeClr val="tx1"/>
              </a:solidFill>
              <a:latin typeface="+mn-lt"/>
            </a:rPr>
            <a:t>Units Sold</a:t>
          </a:r>
          <a:endParaRPr lang="en-US" sz="1200" b="1" i="0" u="none" strike="noStrike">
            <a:solidFill>
              <a:schemeClr val="tx1"/>
            </a:solidFill>
            <a:latin typeface="+mn-lt"/>
          </a:endParaRPr>
        </a:p>
      </xdr:txBody>
    </xdr:sp>
    <xdr:clientData/>
  </xdr:twoCellAnchor>
  <xdr:twoCellAnchor>
    <xdr:from>
      <xdr:col>11</xdr:col>
      <xdr:colOff>380999</xdr:colOff>
      <xdr:row>16</xdr:row>
      <xdr:rowOff>152400</xdr:rowOff>
    </xdr:from>
    <xdr:to>
      <xdr:col>14</xdr:col>
      <xdr:colOff>104774</xdr:colOff>
      <xdr:row>19</xdr:row>
      <xdr:rowOff>85725</xdr:rowOff>
    </xdr:to>
    <xdr:sp macro="" textlink="">
      <xdr:nvSpPr>
        <xdr:cNvPr id="99" name="TextBox 98">
          <a:extLst>
            <a:ext uri="{FF2B5EF4-FFF2-40B4-BE49-F238E27FC236}">
              <a16:creationId xmlns:a16="http://schemas.microsoft.com/office/drawing/2014/main" id="{EE4A5D87-2D5E-452E-A1F8-86DA97E4C785}"/>
            </a:ext>
          </a:extLst>
        </xdr:cNvPr>
        <xdr:cNvSpPr txBox="1"/>
      </xdr:nvSpPr>
      <xdr:spPr>
        <a:xfrm>
          <a:off x="7924799" y="3048000"/>
          <a:ext cx="17811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i="0" u="none" strike="noStrike">
              <a:solidFill>
                <a:schemeClr val="tx1"/>
              </a:solidFill>
              <a:latin typeface="+mn-lt"/>
            </a:rPr>
            <a:t> </a:t>
          </a:r>
          <a:r>
            <a:rPr lang="en-US" sz="1000" b="0" i="0" u="none" strike="noStrike">
              <a:solidFill>
                <a:schemeClr val="tx1"/>
              </a:solidFill>
              <a:latin typeface="+mn-lt"/>
            </a:rPr>
            <a:t>Total</a:t>
          </a:r>
          <a:r>
            <a:rPr lang="en-US" sz="1000" b="0" i="0" u="none" strike="noStrike" baseline="0">
              <a:solidFill>
                <a:schemeClr val="tx1"/>
              </a:solidFill>
              <a:latin typeface="+mn-lt"/>
            </a:rPr>
            <a:t> number of quantity</a:t>
          </a:r>
        </a:p>
        <a:p>
          <a:pPr algn="l"/>
          <a:r>
            <a:rPr lang="en-US" sz="1000" b="0" i="0" u="none" strike="noStrike" baseline="0">
              <a:solidFill>
                <a:schemeClr val="tx1"/>
              </a:solidFill>
              <a:latin typeface="+mn-lt"/>
            </a:rPr>
            <a:t> sold across regions</a:t>
          </a:r>
        </a:p>
      </xdr:txBody>
    </xdr:sp>
    <xdr:clientData/>
  </xdr:twoCellAnchor>
  <xdr:twoCellAnchor>
    <xdr:from>
      <xdr:col>11</xdr:col>
      <xdr:colOff>685799</xdr:colOff>
      <xdr:row>19</xdr:row>
      <xdr:rowOff>142875</xdr:rowOff>
    </xdr:from>
    <xdr:to>
      <xdr:col>14</xdr:col>
      <xdr:colOff>9524</xdr:colOff>
      <xdr:row>22</xdr:row>
      <xdr:rowOff>123825</xdr:rowOff>
    </xdr:to>
    <xdr:sp macro="" textlink="pivot!$V$7">
      <xdr:nvSpPr>
        <xdr:cNvPr id="100" name="TextBox 99">
          <a:extLst>
            <a:ext uri="{FF2B5EF4-FFF2-40B4-BE49-F238E27FC236}">
              <a16:creationId xmlns:a16="http://schemas.microsoft.com/office/drawing/2014/main" id="{91070D78-6E9F-47CF-834F-6B075339BE13}"/>
            </a:ext>
          </a:extLst>
        </xdr:cNvPr>
        <xdr:cNvSpPr txBox="1"/>
      </xdr:nvSpPr>
      <xdr:spPr>
        <a:xfrm>
          <a:off x="8229599" y="3581400"/>
          <a:ext cx="1381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7686B5-3E25-4B48-B999-D8E0C5726941}" type="TxLink">
            <a:rPr lang="en-US" sz="4000" b="1" i="0" u="none" strike="noStrike">
              <a:solidFill>
                <a:schemeClr val="accent3">
                  <a:lumMod val="50000"/>
                </a:schemeClr>
              </a:solidFill>
              <a:latin typeface="Aptos Narrow"/>
              <a:ea typeface="+mn-ea"/>
              <a:cs typeface="+mn-cs"/>
            </a:rPr>
            <a:pPr marL="0" indent="0" algn="ctr"/>
            <a:t>800</a:t>
          </a:fld>
          <a:endParaRPr lang="en-US" sz="7200" b="1" i="0" u="none" strike="noStrike">
            <a:solidFill>
              <a:schemeClr val="accent3">
                <a:lumMod val="50000"/>
              </a:schemeClr>
            </a:solidFill>
            <a:latin typeface="kulim"/>
            <a:ea typeface="+mn-ea"/>
            <a:cs typeface="+mn-cs"/>
          </a:endParaRPr>
        </a:p>
      </xdr:txBody>
    </xdr:sp>
    <xdr:clientData/>
  </xdr:twoCellAnchor>
  <xdr:twoCellAnchor>
    <xdr:from>
      <xdr:col>9</xdr:col>
      <xdr:colOff>238125</xdr:colOff>
      <xdr:row>2</xdr:row>
      <xdr:rowOff>66675</xdr:rowOff>
    </xdr:from>
    <xdr:to>
      <xdr:col>11</xdr:col>
      <xdr:colOff>390525</xdr:colOff>
      <xdr:row>3</xdr:row>
      <xdr:rowOff>171450</xdr:rowOff>
    </xdr:to>
    <xdr:sp macro="" textlink="'Data Table'!A1">
      <xdr:nvSpPr>
        <xdr:cNvPr id="102" name="Rectangle: Rounded Corners 101">
          <a:extLst>
            <a:ext uri="{FF2B5EF4-FFF2-40B4-BE49-F238E27FC236}">
              <a16:creationId xmlns:a16="http://schemas.microsoft.com/office/drawing/2014/main" id="{D4AAAC2C-ED84-4B65-8A82-94B9B5CF6031}"/>
            </a:ext>
          </a:extLst>
        </xdr:cNvPr>
        <xdr:cNvSpPr/>
      </xdr:nvSpPr>
      <xdr:spPr>
        <a:xfrm>
          <a:off x="6410325" y="428625"/>
          <a:ext cx="1524000" cy="285750"/>
        </a:xfrm>
        <a:prstGeom prst="roundRect">
          <a:avLst/>
        </a:prstGeom>
        <a:solidFill>
          <a:schemeClr val="bg1"/>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Kulim Park"/>
            </a:rPr>
            <a:t>      </a:t>
          </a:r>
          <a:fld id="{9BA02DB3-2E61-4B46-BC08-EA4D1B59CCE7}" type="TxLink">
            <a:rPr lang="en-US" sz="1100" b="0" i="0" u="none" strike="noStrike">
              <a:solidFill>
                <a:srgbClr val="000000"/>
              </a:solidFill>
              <a:latin typeface="Kulim Park"/>
            </a:rPr>
            <a:pPr algn="l"/>
            <a:t>22 September 2025</a:t>
          </a:fld>
          <a:endParaRPr lang="en-IN" sz="1100"/>
        </a:p>
      </xdr:txBody>
    </xdr:sp>
    <xdr:clientData/>
  </xdr:twoCellAnchor>
  <xdr:twoCellAnchor editAs="oneCell">
    <xdr:from>
      <xdr:col>9</xdr:col>
      <xdr:colOff>257175</xdr:colOff>
      <xdr:row>2</xdr:row>
      <xdr:rowOff>66675</xdr:rowOff>
    </xdr:from>
    <xdr:to>
      <xdr:col>9</xdr:col>
      <xdr:colOff>523875</xdr:colOff>
      <xdr:row>3</xdr:row>
      <xdr:rowOff>152400</xdr:rowOff>
    </xdr:to>
    <xdr:pic>
      <xdr:nvPicPr>
        <xdr:cNvPr id="104" name="Graphic 103" descr="Daily calendar">
          <a:extLst>
            <a:ext uri="{FF2B5EF4-FFF2-40B4-BE49-F238E27FC236}">
              <a16:creationId xmlns:a16="http://schemas.microsoft.com/office/drawing/2014/main" id="{D2D06D02-C135-452C-8DB5-45F1B55FFD6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6429375" y="428625"/>
          <a:ext cx="266700" cy="266700"/>
        </a:xfrm>
        <a:prstGeom prst="rect">
          <a:avLst/>
        </a:prstGeom>
      </xdr:spPr>
    </xdr:pic>
    <xdr:clientData/>
  </xdr:twoCellAnchor>
  <xdr:twoCellAnchor>
    <xdr:from>
      <xdr:col>11</xdr:col>
      <xdr:colOff>638174</xdr:colOff>
      <xdr:row>0</xdr:row>
      <xdr:rowOff>47625</xdr:rowOff>
    </xdr:from>
    <xdr:to>
      <xdr:col>13</xdr:col>
      <xdr:colOff>638175</xdr:colOff>
      <xdr:row>1</xdr:row>
      <xdr:rowOff>123825</xdr:rowOff>
    </xdr:to>
    <xdr:grpSp>
      <xdr:nvGrpSpPr>
        <xdr:cNvPr id="109" name="Group 108">
          <a:hlinkClick xmlns:r="http://schemas.openxmlformats.org/officeDocument/2006/relationships" r:id="rId16"/>
          <a:extLst>
            <a:ext uri="{FF2B5EF4-FFF2-40B4-BE49-F238E27FC236}">
              <a16:creationId xmlns:a16="http://schemas.microsoft.com/office/drawing/2014/main" id="{35925A6A-DCCA-49E9-BA65-A75CAE69B48E}"/>
            </a:ext>
          </a:extLst>
        </xdr:cNvPr>
        <xdr:cNvGrpSpPr/>
      </xdr:nvGrpSpPr>
      <xdr:grpSpPr>
        <a:xfrm>
          <a:off x="8181974" y="47625"/>
          <a:ext cx="1371601" cy="257175"/>
          <a:chOff x="8181974" y="47625"/>
          <a:chExt cx="1371601" cy="257175"/>
        </a:xfrm>
      </xdr:grpSpPr>
      <xdr:sp macro="" textlink="">
        <xdr:nvSpPr>
          <xdr:cNvPr id="106" name="TextBox 105">
            <a:extLst>
              <a:ext uri="{FF2B5EF4-FFF2-40B4-BE49-F238E27FC236}">
                <a16:creationId xmlns:a16="http://schemas.microsoft.com/office/drawing/2014/main" id="{36A8C9F1-095B-48E1-A28A-4CFB34B23F7D}"/>
              </a:ext>
            </a:extLst>
          </xdr:cNvPr>
          <xdr:cNvSpPr txBox="1"/>
        </xdr:nvSpPr>
        <xdr:spPr>
          <a:xfrm>
            <a:off x="8181974" y="47625"/>
            <a:ext cx="137160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tx1"/>
                </a:solidFill>
                <a:latin typeface="Bahnschrift Condensed" panose="020B0502040204020203" pitchFamily="34" charset="0"/>
                <a:ea typeface="+mn-ea"/>
                <a:cs typeface="+mn-cs"/>
              </a:rPr>
              <a:t> TABLE</a:t>
            </a:r>
          </a:p>
        </xdr:txBody>
      </xdr:sp>
      <xdr:pic>
        <xdr:nvPicPr>
          <xdr:cNvPr id="108" name="Graphic 107" descr="Arrow Slight curve">
            <a:extLst>
              <a:ext uri="{FF2B5EF4-FFF2-40B4-BE49-F238E27FC236}">
                <a16:creationId xmlns:a16="http://schemas.microsoft.com/office/drawing/2014/main" id="{3F8F16D0-EAF3-4D1D-AFFB-A3089F139EF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9105900" y="76200"/>
            <a:ext cx="228600" cy="228600"/>
          </a:xfrm>
          <a:prstGeom prst="rect">
            <a:avLst/>
          </a:prstGeom>
        </xdr:spPr>
      </xdr:pic>
    </xdr:grpSp>
    <xdr:clientData/>
  </xdr:twoCellAnchor>
  <xdr:twoCellAnchor editAs="oneCell">
    <xdr:from>
      <xdr:col>0</xdr:col>
      <xdr:colOff>47625</xdr:colOff>
      <xdr:row>16</xdr:row>
      <xdr:rowOff>114301</xdr:rowOff>
    </xdr:from>
    <xdr:to>
      <xdr:col>1</xdr:col>
      <xdr:colOff>466725</xdr:colOff>
      <xdr:row>22</xdr:row>
      <xdr:rowOff>171451</xdr:rowOff>
    </xdr:to>
    <mc:AlternateContent xmlns:mc="http://schemas.openxmlformats.org/markup-compatibility/2006">
      <mc:Choice xmlns:a14="http://schemas.microsoft.com/office/drawing/2010/main" Requires="a14">
        <xdr:graphicFrame macro="">
          <xdr:nvGraphicFramePr>
            <xdr:cNvPr id="101" name="Region">
              <a:extLst>
                <a:ext uri="{FF2B5EF4-FFF2-40B4-BE49-F238E27FC236}">
                  <a16:creationId xmlns:a16="http://schemas.microsoft.com/office/drawing/2014/main" id="{69CA6DB8-500E-48CA-BDCD-4B2EBD6470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3009901"/>
              <a:ext cx="11049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9</xdr:row>
      <xdr:rowOff>142876</xdr:rowOff>
    </xdr:from>
    <xdr:to>
      <xdr:col>1</xdr:col>
      <xdr:colOff>495300</xdr:colOff>
      <xdr:row>15</xdr:row>
      <xdr:rowOff>38100</xdr:rowOff>
    </xdr:to>
    <mc:AlternateContent xmlns:mc="http://schemas.openxmlformats.org/markup-compatibility/2006">
      <mc:Choice xmlns:a14="http://schemas.microsoft.com/office/drawing/2010/main" Requires="a14">
        <xdr:graphicFrame macro="">
          <xdr:nvGraphicFramePr>
            <xdr:cNvPr id="103" name="Payment Method">
              <a:extLst>
                <a:ext uri="{FF2B5EF4-FFF2-40B4-BE49-F238E27FC236}">
                  <a16:creationId xmlns:a16="http://schemas.microsoft.com/office/drawing/2014/main" id="{FF64DE9C-6003-4D4D-BA1C-74C17C6D731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38100" y="1771651"/>
              <a:ext cx="1143000" cy="981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xdr:row>
      <xdr:rowOff>142876</xdr:rowOff>
    </xdr:from>
    <xdr:to>
      <xdr:col>1</xdr:col>
      <xdr:colOff>505275</xdr:colOff>
      <xdr:row>8</xdr:row>
      <xdr:rowOff>66675</xdr:rowOff>
    </xdr:to>
    <mc:AlternateContent xmlns:mc="http://schemas.openxmlformats.org/markup-compatibility/2006">
      <mc:Choice xmlns:a14="http://schemas.microsoft.com/office/drawing/2010/main" Requires="a14">
        <xdr:graphicFrame macro="">
          <xdr:nvGraphicFramePr>
            <xdr:cNvPr id="105" name="Customer Type">
              <a:extLst>
                <a:ext uri="{FF2B5EF4-FFF2-40B4-BE49-F238E27FC236}">
                  <a16:creationId xmlns:a16="http://schemas.microsoft.com/office/drawing/2014/main" id="{09F8DA8E-1099-4776-A13E-3AC72DA8CFC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47625" y="504826"/>
              <a:ext cx="1143450"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0</xdr:row>
      <xdr:rowOff>76200</xdr:rowOff>
    </xdr:from>
    <xdr:to>
      <xdr:col>0</xdr:col>
      <xdr:colOff>590551</xdr:colOff>
      <xdr:row>1</xdr:row>
      <xdr:rowOff>171450</xdr:rowOff>
    </xdr:to>
    <xdr:sp macro="" textlink="pivot!E7">
      <xdr:nvSpPr>
        <xdr:cNvPr id="107" name="TextBox 106">
          <a:extLst>
            <a:ext uri="{FF2B5EF4-FFF2-40B4-BE49-F238E27FC236}">
              <a16:creationId xmlns:a16="http://schemas.microsoft.com/office/drawing/2014/main" id="{7FDA8BCD-8E89-48C2-BD33-E10CD49F091A}"/>
            </a:ext>
          </a:extLst>
        </xdr:cNvPr>
        <xdr:cNvSpPr txBox="1"/>
      </xdr:nvSpPr>
      <xdr:spPr>
        <a:xfrm>
          <a:off x="47625" y="76200"/>
          <a:ext cx="5429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kulim"/>
            </a:rPr>
            <a:t>Menu</a:t>
          </a:r>
        </a:p>
      </xdr:txBody>
    </xdr:sp>
    <xdr:clientData/>
  </xdr:twoCellAnchor>
  <xdr:twoCellAnchor>
    <xdr:from>
      <xdr:col>0</xdr:col>
      <xdr:colOff>19049</xdr:colOff>
      <xdr:row>1</xdr:row>
      <xdr:rowOff>142875</xdr:rowOff>
    </xdr:from>
    <xdr:to>
      <xdr:col>1</xdr:col>
      <xdr:colOff>323848</xdr:colOff>
      <xdr:row>3</xdr:row>
      <xdr:rowOff>57150</xdr:rowOff>
    </xdr:to>
    <xdr:sp macro="" textlink="pivot!E4">
      <xdr:nvSpPr>
        <xdr:cNvPr id="110" name="TextBox 109">
          <a:extLst>
            <a:ext uri="{FF2B5EF4-FFF2-40B4-BE49-F238E27FC236}">
              <a16:creationId xmlns:a16="http://schemas.microsoft.com/office/drawing/2014/main" id="{1D77AA9E-FD31-452E-BAFA-696A6F4D6539}"/>
            </a:ext>
          </a:extLst>
        </xdr:cNvPr>
        <xdr:cNvSpPr txBox="1"/>
      </xdr:nvSpPr>
      <xdr:spPr>
        <a:xfrm>
          <a:off x="19049" y="323850"/>
          <a:ext cx="990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i="0" u="none" strike="noStrike">
              <a:solidFill>
                <a:schemeClr val="bg1"/>
              </a:solidFill>
              <a:latin typeface="kulim"/>
            </a:rPr>
            <a:t>Customer</a:t>
          </a:r>
          <a:r>
            <a:rPr lang="en-US" sz="1000" b="1" i="0" u="none" strike="noStrike" baseline="0">
              <a:solidFill>
                <a:schemeClr val="bg1"/>
              </a:solidFill>
              <a:latin typeface="kulim"/>
            </a:rPr>
            <a:t> Type</a:t>
          </a:r>
          <a:endParaRPr lang="en-US" sz="1000" b="1" i="0" u="none" strike="noStrike">
            <a:solidFill>
              <a:schemeClr val="bg1"/>
            </a:solidFill>
            <a:latin typeface="kulim"/>
          </a:endParaRPr>
        </a:p>
      </xdr:txBody>
    </xdr:sp>
    <xdr:clientData/>
  </xdr:twoCellAnchor>
  <xdr:twoCellAnchor>
    <xdr:from>
      <xdr:col>0</xdr:col>
      <xdr:colOff>0</xdr:colOff>
      <xdr:row>8</xdr:row>
      <xdr:rowOff>161925</xdr:rowOff>
    </xdr:from>
    <xdr:to>
      <xdr:col>1</xdr:col>
      <xdr:colOff>495300</xdr:colOff>
      <xdr:row>10</xdr:row>
      <xdr:rowOff>76200</xdr:rowOff>
    </xdr:to>
    <xdr:sp macro="" textlink="pivot!E4">
      <xdr:nvSpPr>
        <xdr:cNvPr id="111" name="TextBox 110">
          <a:extLst>
            <a:ext uri="{FF2B5EF4-FFF2-40B4-BE49-F238E27FC236}">
              <a16:creationId xmlns:a16="http://schemas.microsoft.com/office/drawing/2014/main" id="{CFB98873-B42B-41F6-AFF7-4C533898FF56}"/>
            </a:ext>
          </a:extLst>
        </xdr:cNvPr>
        <xdr:cNvSpPr txBox="1"/>
      </xdr:nvSpPr>
      <xdr:spPr>
        <a:xfrm>
          <a:off x="0" y="1609725"/>
          <a:ext cx="1181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i="0" u="none" strike="noStrike">
              <a:solidFill>
                <a:schemeClr val="bg1"/>
              </a:solidFill>
              <a:latin typeface="kulim"/>
            </a:rPr>
            <a:t>Payment</a:t>
          </a:r>
          <a:r>
            <a:rPr lang="en-US" sz="1000" b="1" i="0" u="none" strike="noStrike" baseline="0">
              <a:solidFill>
                <a:schemeClr val="bg1"/>
              </a:solidFill>
              <a:latin typeface="kulim"/>
            </a:rPr>
            <a:t> Method</a:t>
          </a:r>
          <a:endParaRPr lang="en-US" sz="1000" b="1" i="0" u="none" strike="noStrike">
            <a:solidFill>
              <a:schemeClr val="bg1"/>
            </a:solidFill>
            <a:latin typeface="kulim"/>
          </a:endParaRPr>
        </a:p>
      </xdr:txBody>
    </xdr:sp>
    <xdr:clientData/>
  </xdr:twoCellAnchor>
  <xdr:twoCellAnchor>
    <xdr:from>
      <xdr:col>0</xdr:col>
      <xdr:colOff>266700</xdr:colOff>
      <xdr:row>8</xdr:row>
      <xdr:rowOff>57150</xdr:rowOff>
    </xdr:from>
    <xdr:to>
      <xdr:col>1</xdr:col>
      <xdr:colOff>180975</xdr:colOff>
      <xdr:row>8</xdr:row>
      <xdr:rowOff>57150</xdr:rowOff>
    </xdr:to>
    <xdr:cxnSp macro="">
      <xdr:nvCxnSpPr>
        <xdr:cNvPr id="8" name="Straight Connector 7">
          <a:extLst>
            <a:ext uri="{FF2B5EF4-FFF2-40B4-BE49-F238E27FC236}">
              <a16:creationId xmlns:a16="http://schemas.microsoft.com/office/drawing/2014/main" id="{5C521419-3109-4A16-889F-CD5DC4FF6A88}"/>
            </a:ext>
          </a:extLst>
        </xdr:cNvPr>
        <xdr:cNvCxnSpPr/>
      </xdr:nvCxnSpPr>
      <xdr:spPr>
        <a:xfrm>
          <a:off x="266700" y="1504950"/>
          <a:ext cx="60007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238125</xdr:colOff>
      <xdr:row>15</xdr:row>
      <xdr:rowOff>95250</xdr:rowOff>
    </xdr:from>
    <xdr:to>
      <xdr:col>1</xdr:col>
      <xdr:colOff>152400</xdr:colOff>
      <xdr:row>15</xdr:row>
      <xdr:rowOff>95250</xdr:rowOff>
    </xdr:to>
    <xdr:cxnSp macro="">
      <xdr:nvCxnSpPr>
        <xdr:cNvPr id="112" name="Straight Connector 111">
          <a:extLst>
            <a:ext uri="{FF2B5EF4-FFF2-40B4-BE49-F238E27FC236}">
              <a16:creationId xmlns:a16="http://schemas.microsoft.com/office/drawing/2014/main" id="{C015CF36-63E4-481B-B6D2-5D969442E102}"/>
            </a:ext>
          </a:extLst>
        </xdr:cNvPr>
        <xdr:cNvCxnSpPr/>
      </xdr:nvCxnSpPr>
      <xdr:spPr>
        <a:xfrm>
          <a:off x="238125" y="2809875"/>
          <a:ext cx="60007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9525</xdr:colOff>
      <xdr:row>15</xdr:row>
      <xdr:rowOff>123825</xdr:rowOff>
    </xdr:from>
    <xdr:to>
      <xdr:col>0</xdr:col>
      <xdr:colOff>666750</xdr:colOff>
      <xdr:row>17</xdr:row>
      <xdr:rowOff>38100</xdr:rowOff>
    </xdr:to>
    <xdr:sp macro="" textlink="pivot!E4">
      <xdr:nvSpPr>
        <xdr:cNvPr id="113" name="TextBox 112">
          <a:extLst>
            <a:ext uri="{FF2B5EF4-FFF2-40B4-BE49-F238E27FC236}">
              <a16:creationId xmlns:a16="http://schemas.microsoft.com/office/drawing/2014/main" id="{D55A95E5-20C2-4FE5-A747-8E6872F83031}"/>
            </a:ext>
          </a:extLst>
        </xdr:cNvPr>
        <xdr:cNvSpPr txBox="1"/>
      </xdr:nvSpPr>
      <xdr:spPr>
        <a:xfrm>
          <a:off x="9525" y="2838450"/>
          <a:ext cx="6572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i="0" u="none" strike="noStrike">
              <a:solidFill>
                <a:schemeClr val="bg1"/>
              </a:solidFill>
              <a:latin typeface="kulim"/>
            </a:rPr>
            <a:t>Region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21.09702025463" createdVersion="6" refreshedVersion="6" minRefreshableVersion="3" recordCount="150" xr:uid="{E92FEEDF-B2E4-4DB2-AB5B-DCB63B556BD8}">
  <cacheSource type="worksheet">
    <worksheetSource name="Table1"/>
  </cacheSource>
  <cacheFields count="15">
    <cacheField name="Date" numFmtId="14">
      <sharedItems containsSemiMixedTypes="0" containsNonDate="0" containsDate="1" containsString="0" minDate="2024-01-04T00:00:00" maxDate="2024-12-11T00:00:00" count="119">
        <d v="2024-01-22T00:00:00"/>
        <d v="2024-10-06T00:00:00"/>
        <d v="2024-11-19T00:00:00"/>
        <d v="2024-08-26T00:00:00"/>
        <d v="2024-07-29T00:00:00"/>
        <d v="2024-12-07T00:00:00"/>
        <d v="2024-04-20T00:00:00"/>
        <d v="2024-11-18T00:00:00"/>
        <d v="2024-08-09T00:00:00"/>
        <d v="2024-11-01T00:00:00"/>
        <d v="2024-03-18T00:00:00"/>
        <d v="2024-01-27T00:00:00"/>
        <d v="2024-06-28T00:00:00"/>
        <d v="2024-10-22T00:00:00"/>
        <d v="2024-05-11T00:00:00"/>
        <d v="2024-01-31T00:00:00"/>
        <d v="2024-09-05T00:00:00"/>
        <d v="2024-06-18T00:00:00"/>
        <d v="2024-08-29T00:00:00"/>
        <d v="2024-03-06T00:00:00"/>
        <d v="2024-05-24T00:00:00"/>
        <d v="2024-10-13T00:00:00"/>
        <d v="2024-03-14T00:00:00"/>
        <d v="2024-09-24T00:00:00"/>
        <d v="2024-01-12T00:00:00"/>
        <d v="2024-09-10T00:00:00"/>
        <d v="2024-07-17T00:00:00"/>
        <d v="2024-03-20T00:00:00"/>
        <d v="2024-09-30T00:00:00"/>
        <d v="2024-03-22T00:00:00"/>
        <d v="2024-02-06T00:00:00"/>
        <d v="2024-04-05T00:00:00"/>
        <d v="2024-04-26T00:00:00"/>
        <d v="2024-10-04T00:00:00"/>
        <d v="2024-04-14T00:00:00"/>
        <d v="2024-05-13T00:00:00"/>
        <d v="2024-06-17T00:00:00"/>
        <d v="2024-08-04T00:00:00"/>
        <d v="2024-04-24T00:00:00"/>
        <d v="2024-05-30T00:00:00"/>
        <d v="2024-08-23T00:00:00"/>
        <d v="2024-08-07T00:00:00"/>
        <d v="2024-03-31T00:00:00"/>
        <d v="2024-06-01T00:00:00"/>
        <d v="2024-04-07T00:00:00"/>
        <d v="2024-04-11T00:00:00"/>
        <d v="2024-01-23T00:00:00"/>
        <d v="2024-01-15T00:00:00"/>
        <d v="2024-02-08T00:00:00"/>
        <d v="2024-07-28T00:00:00"/>
        <d v="2024-09-01T00:00:00"/>
        <d v="2024-08-06T00:00:00"/>
        <d v="2024-09-08T00:00:00"/>
        <d v="2024-02-10T00:00:00"/>
        <d v="2024-09-02T00:00:00"/>
        <d v="2024-02-03T00:00:00"/>
        <d v="2024-02-19T00:00:00"/>
        <d v="2024-05-25T00:00:00"/>
        <d v="2024-04-17T00:00:00"/>
        <d v="2024-09-28T00:00:00"/>
        <d v="2024-05-18T00:00:00"/>
        <d v="2024-01-04T00:00:00"/>
        <d v="2024-04-02T00:00:00"/>
        <d v="2024-05-04T00:00:00"/>
        <d v="2024-07-13T00:00:00"/>
        <d v="2024-02-29T00:00:00"/>
        <d v="2024-06-30T00:00:00"/>
        <d v="2024-09-23T00:00:00"/>
        <d v="2024-01-18T00:00:00"/>
        <d v="2024-05-09T00:00:00"/>
        <d v="2024-06-26T00:00:00"/>
        <d v="2024-09-14T00:00:00"/>
        <d v="2024-07-11T00:00:00"/>
        <d v="2024-06-07T00:00:00"/>
        <d v="2024-07-18T00:00:00"/>
        <d v="2024-07-16T00:00:00"/>
        <d v="2024-10-01T00:00:00"/>
        <d v="2024-03-08T00:00:00"/>
        <d v="2024-09-26T00:00:00"/>
        <d v="2024-04-21T00:00:00"/>
        <d v="2024-01-30T00:00:00"/>
        <d v="2024-01-20T00:00:00"/>
        <d v="2024-09-17T00:00:00"/>
        <d v="2024-09-03T00:00:00"/>
        <d v="2024-08-28T00:00:00"/>
        <d v="2024-04-27T00:00:00"/>
        <d v="2024-03-13T00:00:00"/>
        <d v="2024-04-13T00:00:00"/>
        <d v="2024-06-23T00:00:00"/>
        <d v="2024-12-01T00:00:00"/>
        <d v="2024-03-29T00:00:00"/>
        <d v="2024-01-13T00:00:00"/>
        <d v="2024-12-10T00:00:00"/>
        <d v="2024-11-09T00:00:00"/>
        <d v="2024-03-21T00:00:00"/>
        <d v="2024-02-07T00:00:00"/>
        <d v="2024-06-06T00:00:00"/>
        <d v="2024-10-30T00:00:00"/>
        <d v="2024-02-24T00:00:00"/>
        <d v="2024-11-04T00:00:00"/>
        <d v="2024-01-14T00:00:00"/>
        <d v="2024-08-10T00:00:00"/>
        <d v="2024-03-16T00:00:00"/>
        <d v="2024-06-19T00:00:00"/>
        <d v="2024-06-09T00:00:00"/>
        <d v="2024-05-19T00:00:00"/>
        <d v="2024-04-30T00:00:00"/>
        <d v="2024-07-10T00:00:00"/>
        <d v="2024-10-14T00:00:00"/>
        <d v="2024-09-09T00:00:00"/>
        <d v="2024-05-26T00:00:00"/>
        <d v="2024-07-24T00:00:00"/>
        <d v="2024-11-21T00:00:00"/>
        <d v="2024-08-25T00:00:00"/>
        <d v="2024-02-12T00:00:00"/>
        <d v="2024-03-05T00:00:00"/>
        <d v="2024-09-20T00:00:00"/>
        <d v="2024-11-14T00:00:00"/>
        <d v="2024-11-08T00:00:00"/>
      </sharedItems>
      <fieldGroup par="14" base="0">
        <rangePr groupBy="days" startDate="2024-01-04T00:00:00" endDate="2024-12-11T00:00:00"/>
        <groupItems count="368">
          <s v="&lt;04-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2-2024"/>
        </groupItems>
      </fieldGroup>
    </cacheField>
    <cacheField name="Product Name" numFmtId="0">
      <sharedItems count="20">
        <s v="Table"/>
        <s v="Curtains"/>
        <s v="Sneakers"/>
        <s v="Chair"/>
        <s v="Lamp"/>
        <s v="Laptop"/>
        <s v="T-Shirt"/>
        <s v="Yoga Mat"/>
        <s v="Tennis Racket"/>
        <s v="Dumbbells"/>
        <s v="Smartphone"/>
        <s v="Perfume"/>
        <s v="Camera"/>
        <s v="Headphones"/>
        <s v="Football"/>
        <s v="Shampoo"/>
        <s v="Jeans"/>
        <s v="Face Cream"/>
        <s v="Jacket"/>
        <s v="Lipstick"/>
      </sharedItems>
    </cacheField>
    <cacheField name="Category" numFmtId="0">
      <sharedItems count="5">
        <s v="Home Goods"/>
        <s v="Clothing"/>
        <s v="Electronics"/>
        <s v="Sports"/>
        <s v="Beauty"/>
      </sharedItems>
    </cacheField>
    <cacheField name="Sales Representative" numFmtId="0">
      <sharedItems count="5">
        <s v="Charlie"/>
        <s v="Bob"/>
        <s v="Alice"/>
        <s v="Eve"/>
        <s v="Diana"/>
      </sharedItems>
    </cacheField>
    <cacheField name="Region" numFmtId="0">
      <sharedItems count="4">
        <s v="West"/>
        <s v="East"/>
        <s v="South"/>
        <s v="North"/>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22.62" maxValue="495.03"/>
    </cacheField>
    <cacheField name="Total Sale" numFmtId="0">
      <sharedItems containsSemiMixedTypes="0" containsString="0" containsNumber="1" minValue="55.02" maxValue="4930.5"/>
    </cacheField>
    <cacheField name="Cost Price" numFmtId="0">
      <sharedItems containsSemiMixedTypes="0" containsString="0" containsNumber="1" minValue="-4.9799999999999969" maxValue="4870.5"/>
    </cacheField>
    <cacheField name="Profit" numFmtId="0">
      <sharedItems containsSemiMixedTypes="0" containsString="0" containsNumber="1" minValue="40" maxValue="65.5"/>
    </cacheField>
    <cacheField name="Payment Method" numFmtId="0">
      <sharedItems count="3">
        <s v="Credit Card"/>
        <s v="Cash"/>
        <s v="Online Transfer"/>
      </sharedItems>
    </cacheField>
    <cacheField name="Order Status" numFmtId="0">
      <sharedItems count="3">
        <s v="Completed"/>
        <s v="Pending"/>
        <s v="Cancelled"/>
      </sharedItems>
    </cacheField>
    <cacheField name="Region Manager" numFmtId="0">
      <sharedItems count="4">
        <s v="Lisa White"/>
        <s v="Tom Brown"/>
        <s v="Mark Davis"/>
        <s v="Sarah Johnson"/>
      </sharedItems>
    </cacheField>
    <cacheField name="Customer Type" numFmtId="0">
      <sharedItems count="3">
        <s v="Regular"/>
        <s v="VIP"/>
        <s v="New"/>
      </sharedItems>
    </cacheField>
    <cacheField name="Months" numFmtId="0" databaseField="0">
      <fieldGroup base="0">
        <rangePr groupBy="months" startDate="2024-01-04T00:00:00" endDate="2024-12-11T00:00:00"/>
        <groupItems count="14">
          <s v="&lt;04-01-2024"/>
          <s v="Jan"/>
          <s v="Feb"/>
          <s v="Mar"/>
          <s v="Apr"/>
          <s v="May"/>
          <s v="Jun"/>
          <s v="Jul"/>
          <s v="Aug"/>
          <s v="Sep"/>
          <s v="Oct"/>
          <s v="Nov"/>
          <s v="Dec"/>
          <s v="&gt;11-12-2024"/>
        </groupItems>
      </fieldGroup>
    </cacheField>
  </cacheFields>
  <extLst>
    <ext xmlns:x14="http://schemas.microsoft.com/office/spreadsheetml/2009/9/main" uri="{725AE2AE-9491-48be-B2B4-4EB974FC3084}">
      <x14:pivotCacheDefinition pivotCacheId="1424211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n v="1"/>
    <n v="91.81"/>
    <n v="91.81"/>
    <n v="51.81"/>
    <n v="40"/>
    <x v="0"/>
    <x v="0"/>
    <x v="0"/>
    <x v="0"/>
  </r>
  <r>
    <x v="1"/>
    <x v="1"/>
    <x v="0"/>
    <x v="1"/>
    <x v="1"/>
    <n v="9"/>
    <n v="462.17"/>
    <n v="4159.53"/>
    <n v="4099.53"/>
    <n v="60"/>
    <x v="1"/>
    <x v="1"/>
    <x v="1"/>
    <x v="1"/>
  </r>
  <r>
    <x v="2"/>
    <x v="2"/>
    <x v="1"/>
    <x v="1"/>
    <x v="2"/>
    <n v="7"/>
    <n v="198.67"/>
    <n v="1390.69"/>
    <n v="1325.19"/>
    <n v="65.5"/>
    <x v="2"/>
    <x v="2"/>
    <x v="2"/>
    <x v="2"/>
  </r>
  <r>
    <x v="3"/>
    <x v="3"/>
    <x v="0"/>
    <x v="1"/>
    <x v="2"/>
    <n v="6"/>
    <n v="125.67"/>
    <n v="754.02"/>
    <n v="705.02"/>
    <n v="49"/>
    <x v="0"/>
    <x v="0"/>
    <x v="3"/>
    <x v="0"/>
  </r>
  <r>
    <x v="4"/>
    <x v="4"/>
    <x v="0"/>
    <x v="1"/>
    <x v="1"/>
    <n v="5"/>
    <n v="244.72"/>
    <n v="1223.5999999999999"/>
    <n v="1183.5999999999999"/>
    <n v="40"/>
    <x v="1"/>
    <x v="1"/>
    <x v="0"/>
    <x v="1"/>
  </r>
  <r>
    <x v="5"/>
    <x v="5"/>
    <x v="2"/>
    <x v="1"/>
    <x v="1"/>
    <n v="3"/>
    <n v="117.66"/>
    <n v="352.98"/>
    <n v="292.98"/>
    <n v="60"/>
    <x v="2"/>
    <x v="0"/>
    <x v="1"/>
    <x v="2"/>
  </r>
  <r>
    <x v="6"/>
    <x v="6"/>
    <x v="1"/>
    <x v="2"/>
    <x v="2"/>
    <n v="5"/>
    <n v="249.15"/>
    <n v="1245.75"/>
    <n v="1180.25"/>
    <n v="65.5"/>
    <x v="0"/>
    <x v="2"/>
    <x v="2"/>
    <x v="0"/>
  </r>
  <r>
    <x v="7"/>
    <x v="7"/>
    <x v="3"/>
    <x v="1"/>
    <x v="1"/>
    <n v="5"/>
    <n v="337.68"/>
    <n v="1688.4"/>
    <n v="1639.4"/>
    <n v="49"/>
    <x v="1"/>
    <x v="0"/>
    <x v="3"/>
    <x v="1"/>
  </r>
  <r>
    <x v="8"/>
    <x v="8"/>
    <x v="3"/>
    <x v="2"/>
    <x v="3"/>
    <n v="5"/>
    <n v="491.3"/>
    <n v="2456.5"/>
    <n v="2416.5"/>
    <n v="40"/>
    <x v="2"/>
    <x v="1"/>
    <x v="0"/>
    <x v="2"/>
  </r>
  <r>
    <x v="9"/>
    <x v="3"/>
    <x v="0"/>
    <x v="1"/>
    <x v="2"/>
    <n v="4"/>
    <n v="394.42"/>
    <n v="1577.68"/>
    <n v="1517.68"/>
    <n v="60"/>
    <x v="0"/>
    <x v="0"/>
    <x v="1"/>
    <x v="0"/>
  </r>
  <r>
    <x v="10"/>
    <x v="9"/>
    <x v="3"/>
    <x v="0"/>
    <x v="3"/>
    <n v="2"/>
    <n v="216.4"/>
    <n v="432.8"/>
    <n v="367.3"/>
    <n v="65.5"/>
    <x v="1"/>
    <x v="1"/>
    <x v="2"/>
    <x v="1"/>
  </r>
  <r>
    <x v="11"/>
    <x v="7"/>
    <x v="3"/>
    <x v="3"/>
    <x v="2"/>
    <n v="6"/>
    <n v="457.22"/>
    <n v="2743.32"/>
    <n v="2694.32"/>
    <n v="49"/>
    <x v="2"/>
    <x v="2"/>
    <x v="3"/>
    <x v="2"/>
  </r>
  <r>
    <x v="12"/>
    <x v="0"/>
    <x v="0"/>
    <x v="2"/>
    <x v="1"/>
    <n v="8"/>
    <n v="438.33"/>
    <n v="3506.64"/>
    <n v="3466.64"/>
    <n v="40"/>
    <x v="0"/>
    <x v="0"/>
    <x v="0"/>
    <x v="0"/>
  </r>
  <r>
    <x v="13"/>
    <x v="3"/>
    <x v="0"/>
    <x v="4"/>
    <x v="2"/>
    <n v="2"/>
    <n v="56.98"/>
    <n v="113.96"/>
    <n v="53.959999999999994"/>
    <n v="60"/>
    <x v="1"/>
    <x v="0"/>
    <x v="1"/>
    <x v="1"/>
  </r>
  <r>
    <x v="14"/>
    <x v="9"/>
    <x v="3"/>
    <x v="4"/>
    <x v="3"/>
    <n v="1"/>
    <n v="313.14"/>
    <n v="313.14"/>
    <n v="247.64"/>
    <n v="65.5"/>
    <x v="2"/>
    <x v="2"/>
    <x v="2"/>
    <x v="2"/>
  </r>
  <r>
    <x v="15"/>
    <x v="4"/>
    <x v="0"/>
    <x v="0"/>
    <x v="1"/>
    <n v="4"/>
    <n v="53.03"/>
    <n v="212.12"/>
    <n v="163.12"/>
    <n v="49"/>
    <x v="0"/>
    <x v="1"/>
    <x v="3"/>
    <x v="0"/>
  </r>
  <r>
    <x v="16"/>
    <x v="10"/>
    <x v="2"/>
    <x v="2"/>
    <x v="3"/>
    <n v="10"/>
    <n v="152.37"/>
    <n v="1523.7"/>
    <n v="1483.7"/>
    <n v="40"/>
    <x v="1"/>
    <x v="0"/>
    <x v="0"/>
    <x v="1"/>
  </r>
  <r>
    <x v="17"/>
    <x v="3"/>
    <x v="0"/>
    <x v="3"/>
    <x v="3"/>
    <n v="6"/>
    <n v="132.59"/>
    <n v="795.54"/>
    <n v="735.54"/>
    <n v="60"/>
    <x v="2"/>
    <x v="0"/>
    <x v="1"/>
    <x v="2"/>
  </r>
  <r>
    <x v="18"/>
    <x v="6"/>
    <x v="1"/>
    <x v="4"/>
    <x v="0"/>
    <n v="5"/>
    <n v="265.92"/>
    <n v="1329.6"/>
    <n v="1264.0999999999999"/>
    <n v="65.5"/>
    <x v="0"/>
    <x v="1"/>
    <x v="2"/>
    <x v="0"/>
  </r>
  <r>
    <x v="17"/>
    <x v="3"/>
    <x v="0"/>
    <x v="4"/>
    <x v="3"/>
    <n v="1"/>
    <n v="492.81"/>
    <n v="492.81"/>
    <n v="443.81"/>
    <n v="49"/>
    <x v="1"/>
    <x v="2"/>
    <x v="3"/>
    <x v="1"/>
  </r>
  <r>
    <x v="19"/>
    <x v="4"/>
    <x v="0"/>
    <x v="4"/>
    <x v="3"/>
    <n v="1"/>
    <n v="434.04"/>
    <n v="434.04"/>
    <n v="394.04"/>
    <n v="40"/>
    <x v="2"/>
    <x v="0"/>
    <x v="0"/>
    <x v="2"/>
  </r>
  <r>
    <x v="20"/>
    <x v="2"/>
    <x v="1"/>
    <x v="2"/>
    <x v="0"/>
    <n v="10"/>
    <n v="462.7"/>
    <n v="4627"/>
    <n v="4567"/>
    <n v="60"/>
    <x v="0"/>
    <x v="2"/>
    <x v="1"/>
    <x v="0"/>
  </r>
  <r>
    <x v="14"/>
    <x v="3"/>
    <x v="0"/>
    <x v="3"/>
    <x v="1"/>
    <n v="2"/>
    <n v="336.04"/>
    <n v="672.08"/>
    <n v="606.58000000000004"/>
    <n v="65.5"/>
    <x v="1"/>
    <x v="0"/>
    <x v="2"/>
    <x v="1"/>
  </r>
  <r>
    <x v="21"/>
    <x v="11"/>
    <x v="4"/>
    <x v="4"/>
    <x v="1"/>
    <n v="7"/>
    <n v="349.53"/>
    <n v="2446.71"/>
    <n v="2397.71"/>
    <n v="49"/>
    <x v="2"/>
    <x v="1"/>
    <x v="3"/>
    <x v="2"/>
  </r>
  <r>
    <x v="22"/>
    <x v="4"/>
    <x v="0"/>
    <x v="1"/>
    <x v="3"/>
    <n v="5"/>
    <n v="178.39"/>
    <n v="891.95"/>
    <n v="851.95"/>
    <n v="40"/>
    <x v="0"/>
    <x v="1"/>
    <x v="0"/>
    <x v="0"/>
  </r>
  <r>
    <x v="23"/>
    <x v="12"/>
    <x v="2"/>
    <x v="0"/>
    <x v="2"/>
    <n v="9"/>
    <n v="479.97"/>
    <n v="4319.7299999999996"/>
    <n v="4259.7299999999996"/>
    <n v="60"/>
    <x v="1"/>
    <x v="2"/>
    <x v="1"/>
    <x v="1"/>
  </r>
  <r>
    <x v="24"/>
    <x v="12"/>
    <x v="2"/>
    <x v="2"/>
    <x v="0"/>
    <n v="1"/>
    <n v="226.32"/>
    <n v="226.32"/>
    <n v="160.82"/>
    <n v="65.5"/>
    <x v="2"/>
    <x v="0"/>
    <x v="2"/>
    <x v="2"/>
  </r>
  <r>
    <x v="25"/>
    <x v="12"/>
    <x v="2"/>
    <x v="1"/>
    <x v="2"/>
    <n v="6"/>
    <n v="430.69"/>
    <n v="2584.14"/>
    <n v="2535.14"/>
    <n v="49"/>
    <x v="0"/>
    <x v="0"/>
    <x v="3"/>
    <x v="0"/>
  </r>
  <r>
    <x v="26"/>
    <x v="6"/>
    <x v="1"/>
    <x v="1"/>
    <x v="3"/>
    <n v="3"/>
    <n v="393.27"/>
    <n v="1179.81"/>
    <n v="1139.81"/>
    <n v="40"/>
    <x v="1"/>
    <x v="1"/>
    <x v="0"/>
    <x v="1"/>
  </r>
  <r>
    <x v="27"/>
    <x v="1"/>
    <x v="0"/>
    <x v="0"/>
    <x v="1"/>
    <n v="9"/>
    <n v="475.63"/>
    <n v="4280.67"/>
    <n v="4220.67"/>
    <n v="60"/>
    <x v="2"/>
    <x v="2"/>
    <x v="1"/>
    <x v="2"/>
  </r>
  <r>
    <x v="28"/>
    <x v="1"/>
    <x v="0"/>
    <x v="0"/>
    <x v="0"/>
    <n v="1"/>
    <n v="286.63"/>
    <n v="286.63"/>
    <n v="221.13"/>
    <n v="65.5"/>
    <x v="0"/>
    <x v="0"/>
    <x v="2"/>
    <x v="0"/>
  </r>
  <r>
    <x v="25"/>
    <x v="2"/>
    <x v="1"/>
    <x v="1"/>
    <x v="2"/>
    <n v="6"/>
    <n v="66.28"/>
    <n v="397.68"/>
    <n v="348.68"/>
    <n v="49"/>
    <x v="1"/>
    <x v="1"/>
    <x v="3"/>
    <x v="1"/>
  </r>
  <r>
    <x v="29"/>
    <x v="13"/>
    <x v="2"/>
    <x v="4"/>
    <x v="0"/>
    <n v="1"/>
    <n v="188.02"/>
    <n v="188.02"/>
    <n v="148.02000000000001"/>
    <n v="40"/>
    <x v="2"/>
    <x v="0"/>
    <x v="0"/>
    <x v="2"/>
  </r>
  <r>
    <x v="30"/>
    <x v="2"/>
    <x v="1"/>
    <x v="0"/>
    <x v="2"/>
    <n v="2"/>
    <n v="163.61000000000001"/>
    <n v="327.22000000000003"/>
    <n v="267.22000000000003"/>
    <n v="60"/>
    <x v="0"/>
    <x v="2"/>
    <x v="1"/>
    <x v="0"/>
  </r>
  <r>
    <x v="31"/>
    <x v="10"/>
    <x v="2"/>
    <x v="1"/>
    <x v="1"/>
    <n v="5"/>
    <n v="235.55"/>
    <n v="1177.75"/>
    <n v="1112.25"/>
    <n v="65.5"/>
    <x v="1"/>
    <x v="1"/>
    <x v="2"/>
    <x v="1"/>
  </r>
  <r>
    <x v="32"/>
    <x v="5"/>
    <x v="2"/>
    <x v="3"/>
    <x v="1"/>
    <n v="9"/>
    <n v="342.15"/>
    <n v="3079.35"/>
    <n v="3030.35"/>
    <n v="49"/>
    <x v="2"/>
    <x v="0"/>
    <x v="3"/>
    <x v="2"/>
  </r>
  <r>
    <x v="33"/>
    <x v="14"/>
    <x v="3"/>
    <x v="1"/>
    <x v="3"/>
    <n v="4"/>
    <n v="117.1"/>
    <n v="468.4"/>
    <n v="428.4"/>
    <n v="40"/>
    <x v="0"/>
    <x v="2"/>
    <x v="0"/>
    <x v="0"/>
  </r>
  <r>
    <x v="34"/>
    <x v="15"/>
    <x v="4"/>
    <x v="1"/>
    <x v="2"/>
    <n v="2"/>
    <n v="416.69"/>
    <n v="833.38"/>
    <n v="773.38"/>
    <n v="60"/>
    <x v="1"/>
    <x v="0"/>
    <x v="1"/>
    <x v="1"/>
  </r>
  <r>
    <x v="35"/>
    <x v="0"/>
    <x v="0"/>
    <x v="4"/>
    <x v="0"/>
    <n v="8"/>
    <n v="341.07"/>
    <n v="2728.56"/>
    <n v="2663.06"/>
    <n v="65.5"/>
    <x v="2"/>
    <x v="1"/>
    <x v="2"/>
    <x v="2"/>
  </r>
  <r>
    <x v="36"/>
    <x v="16"/>
    <x v="1"/>
    <x v="0"/>
    <x v="2"/>
    <n v="7"/>
    <n v="76.53"/>
    <n v="535.71"/>
    <n v="486.71000000000004"/>
    <n v="49"/>
    <x v="0"/>
    <x v="2"/>
    <x v="3"/>
    <x v="0"/>
  </r>
  <r>
    <x v="37"/>
    <x v="3"/>
    <x v="0"/>
    <x v="4"/>
    <x v="3"/>
    <n v="5"/>
    <n v="302.08"/>
    <n v="1510.4"/>
    <n v="1470.4"/>
    <n v="40"/>
    <x v="1"/>
    <x v="0"/>
    <x v="0"/>
    <x v="1"/>
  </r>
  <r>
    <x v="38"/>
    <x v="15"/>
    <x v="4"/>
    <x v="2"/>
    <x v="1"/>
    <n v="6"/>
    <n v="343.96"/>
    <n v="2063.7600000000002"/>
    <n v="2003.7600000000002"/>
    <n v="60"/>
    <x v="2"/>
    <x v="1"/>
    <x v="1"/>
    <x v="2"/>
  </r>
  <r>
    <x v="39"/>
    <x v="3"/>
    <x v="0"/>
    <x v="2"/>
    <x v="2"/>
    <n v="3"/>
    <n v="334.52"/>
    <n v="1003.56"/>
    <n v="938.06"/>
    <n v="65.5"/>
    <x v="0"/>
    <x v="2"/>
    <x v="2"/>
    <x v="0"/>
  </r>
  <r>
    <x v="40"/>
    <x v="3"/>
    <x v="0"/>
    <x v="4"/>
    <x v="0"/>
    <n v="6"/>
    <n v="108.38"/>
    <n v="650.28"/>
    <n v="601.28"/>
    <n v="49"/>
    <x v="1"/>
    <x v="0"/>
    <x v="3"/>
    <x v="1"/>
  </r>
  <r>
    <x v="41"/>
    <x v="7"/>
    <x v="3"/>
    <x v="0"/>
    <x v="0"/>
    <n v="6"/>
    <n v="135.08000000000001"/>
    <n v="810.48"/>
    <n v="770.48"/>
    <n v="40"/>
    <x v="2"/>
    <x v="0"/>
    <x v="0"/>
    <x v="2"/>
  </r>
  <r>
    <x v="42"/>
    <x v="4"/>
    <x v="0"/>
    <x v="4"/>
    <x v="3"/>
    <n v="8"/>
    <n v="217.97"/>
    <n v="1743.76"/>
    <n v="1683.76"/>
    <n v="60"/>
    <x v="0"/>
    <x v="2"/>
    <x v="1"/>
    <x v="0"/>
  </r>
  <r>
    <x v="11"/>
    <x v="4"/>
    <x v="0"/>
    <x v="2"/>
    <x v="2"/>
    <n v="10"/>
    <n v="315.7"/>
    <n v="3157"/>
    <n v="3091.5"/>
    <n v="65.5"/>
    <x v="1"/>
    <x v="0"/>
    <x v="2"/>
    <x v="1"/>
  </r>
  <r>
    <x v="43"/>
    <x v="12"/>
    <x v="2"/>
    <x v="2"/>
    <x v="2"/>
    <n v="4"/>
    <n v="275.02999999999997"/>
    <n v="1100.1199999999999"/>
    <n v="1051.1199999999999"/>
    <n v="49"/>
    <x v="2"/>
    <x v="1"/>
    <x v="3"/>
    <x v="2"/>
  </r>
  <r>
    <x v="44"/>
    <x v="13"/>
    <x v="2"/>
    <x v="1"/>
    <x v="3"/>
    <n v="2"/>
    <n v="333.53"/>
    <n v="667.06"/>
    <n v="627.05999999999995"/>
    <n v="40"/>
    <x v="0"/>
    <x v="0"/>
    <x v="0"/>
    <x v="0"/>
  </r>
  <r>
    <x v="45"/>
    <x v="8"/>
    <x v="3"/>
    <x v="1"/>
    <x v="2"/>
    <n v="10"/>
    <n v="493.05"/>
    <n v="4930.5"/>
    <n v="4870.5"/>
    <n v="60"/>
    <x v="1"/>
    <x v="2"/>
    <x v="1"/>
    <x v="1"/>
  </r>
  <r>
    <x v="46"/>
    <x v="10"/>
    <x v="2"/>
    <x v="0"/>
    <x v="1"/>
    <n v="2"/>
    <n v="154.16"/>
    <n v="308.32"/>
    <n v="242.82"/>
    <n v="65.5"/>
    <x v="2"/>
    <x v="1"/>
    <x v="2"/>
    <x v="2"/>
  </r>
  <r>
    <x v="47"/>
    <x v="17"/>
    <x v="4"/>
    <x v="3"/>
    <x v="2"/>
    <n v="10"/>
    <n v="294.19"/>
    <n v="2941.9"/>
    <n v="2892.9"/>
    <n v="49"/>
    <x v="0"/>
    <x v="0"/>
    <x v="3"/>
    <x v="0"/>
  </r>
  <r>
    <x v="48"/>
    <x v="2"/>
    <x v="1"/>
    <x v="0"/>
    <x v="0"/>
    <n v="8"/>
    <n v="307.88"/>
    <n v="2463.04"/>
    <n v="2423.04"/>
    <n v="40"/>
    <x v="1"/>
    <x v="2"/>
    <x v="0"/>
    <x v="1"/>
  </r>
  <r>
    <x v="29"/>
    <x v="14"/>
    <x v="3"/>
    <x v="3"/>
    <x v="0"/>
    <n v="10"/>
    <n v="223.77"/>
    <n v="2237.6999999999998"/>
    <n v="2177.6999999999998"/>
    <n v="60"/>
    <x v="2"/>
    <x v="0"/>
    <x v="1"/>
    <x v="2"/>
  </r>
  <r>
    <x v="10"/>
    <x v="18"/>
    <x v="1"/>
    <x v="1"/>
    <x v="3"/>
    <n v="5"/>
    <n v="83.92"/>
    <n v="419.6"/>
    <n v="354.1"/>
    <n v="65.5"/>
    <x v="0"/>
    <x v="1"/>
    <x v="2"/>
    <x v="0"/>
  </r>
  <r>
    <x v="49"/>
    <x v="10"/>
    <x v="2"/>
    <x v="4"/>
    <x v="0"/>
    <n v="3"/>
    <n v="191.55"/>
    <n v="574.65"/>
    <n v="525.65"/>
    <n v="49"/>
    <x v="1"/>
    <x v="2"/>
    <x v="3"/>
    <x v="1"/>
  </r>
  <r>
    <x v="50"/>
    <x v="0"/>
    <x v="0"/>
    <x v="3"/>
    <x v="2"/>
    <n v="5"/>
    <n v="290.39"/>
    <n v="1451.95"/>
    <n v="1411.95"/>
    <n v="40"/>
    <x v="2"/>
    <x v="0"/>
    <x v="0"/>
    <x v="2"/>
  </r>
  <r>
    <x v="51"/>
    <x v="13"/>
    <x v="2"/>
    <x v="0"/>
    <x v="0"/>
    <n v="8"/>
    <n v="89.62"/>
    <n v="716.96"/>
    <n v="656.96"/>
    <n v="60"/>
    <x v="0"/>
    <x v="1"/>
    <x v="1"/>
    <x v="0"/>
  </r>
  <r>
    <x v="52"/>
    <x v="18"/>
    <x v="1"/>
    <x v="4"/>
    <x v="1"/>
    <n v="7"/>
    <n v="252.53"/>
    <n v="1767.71"/>
    <n v="1702.21"/>
    <n v="65.5"/>
    <x v="1"/>
    <x v="0"/>
    <x v="2"/>
    <x v="1"/>
  </r>
  <r>
    <x v="53"/>
    <x v="7"/>
    <x v="3"/>
    <x v="2"/>
    <x v="1"/>
    <n v="9"/>
    <n v="127.33"/>
    <n v="1145.97"/>
    <n v="1096.97"/>
    <n v="49"/>
    <x v="2"/>
    <x v="2"/>
    <x v="3"/>
    <x v="2"/>
  </r>
  <r>
    <x v="54"/>
    <x v="12"/>
    <x v="2"/>
    <x v="4"/>
    <x v="0"/>
    <n v="4"/>
    <n v="165.21"/>
    <n v="660.84"/>
    <n v="620.84"/>
    <n v="40"/>
    <x v="0"/>
    <x v="0"/>
    <x v="0"/>
    <x v="0"/>
  </r>
  <r>
    <x v="55"/>
    <x v="4"/>
    <x v="0"/>
    <x v="0"/>
    <x v="0"/>
    <n v="8"/>
    <n v="292.8"/>
    <n v="2342.4"/>
    <n v="2282.4"/>
    <n v="60"/>
    <x v="1"/>
    <x v="1"/>
    <x v="1"/>
    <x v="1"/>
  </r>
  <r>
    <x v="56"/>
    <x v="2"/>
    <x v="1"/>
    <x v="2"/>
    <x v="1"/>
    <n v="1"/>
    <n v="327.33"/>
    <n v="327.33"/>
    <n v="261.83"/>
    <n v="65.5"/>
    <x v="2"/>
    <x v="0"/>
    <x v="2"/>
    <x v="2"/>
  </r>
  <r>
    <x v="57"/>
    <x v="1"/>
    <x v="0"/>
    <x v="3"/>
    <x v="3"/>
    <n v="6"/>
    <n v="201.52"/>
    <n v="1209.1199999999999"/>
    <n v="1160.1199999999999"/>
    <n v="49"/>
    <x v="0"/>
    <x v="2"/>
    <x v="3"/>
    <x v="0"/>
  </r>
  <r>
    <x v="58"/>
    <x v="0"/>
    <x v="0"/>
    <x v="3"/>
    <x v="2"/>
    <n v="3"/>
    <n v="487.82"/>
    <n v="1463.46"/>
    <n v="1423.46"/>
    <n v="40"/>
    <x v="1"/>
    <x v="0"/>
    <x v="0"/>
    <x v="1"/>
  </r>
  <r>
    <x v="59"/>
    <x v="7"/>
    <x v="3"/>
    <x v="3"/>
    <x v="3"/>
    <n v="9"/>
    <n v="334.1"/>
    <n v="3006.9"/>
    <n v="2946.9"/>
    <n v="60"/>
    <x v="2"/>
    <x v="1"/>
    <x v="1"/>
    <x v="2"/>
  </r>
  <r>
    <x v="30"/>
    <x v="3"/>
    <x v="0"/>
    <x v="4"/>
    <x v="2"/>
    <n v="10"/>
    <n v="88.48"/>
    <n v="884.8"/>
    <n v="819.3"/>
    <n v="65.5"/>
    <x v="0"/>
    <x v="0"/>
    <x v="2"/>
    <x v="0"/>
  </r>
  <r>
    <x v="27"/>
    <x v="4"/>
    <x v="0"/>
    <x v="1"/>
    <x v="3"/>
    <n v="2"/>
    <n v="115.48"/>
    <n v="230.96"/>
    <n v="181.96"/>
    <n v="49"/>
    <x v="1"/>
    <x v="2"/>
    <x v="3"/>
    <x v="1"/>
  </r>
  <r>
    <x v="35"/>
    <x v="4"/>
    <x v="0"/>
    <x v="4"/>
    <x v="1"/>
    <n v="1"/>
    <n v="187.15"/>
    <n v="187.15"/>
    <n v="147.15"/>
    <n v="40"/>
    <x v="2"/>
    <x v="1"/>
    <x v="0"/>
    <x v="2"/>
  </r>
  <r>
    <x v="60"/>
    <x v="8"/>
    <x v="3"/>
    <x v="3"/>
    <x v="2"/>
    <n v="8"/>
    <n v="300.43"/>
    <n v="2403.44"/>
    <n v="2343.44"/>
    <n v="60"/>
    <x v="0"/>
    <x v="0"/>
    <x v="1"/>
    <x v="0"/>
  </r>
  <r>
    <x v="61"/>
    <x v="12"/>
    <x v="2"/>
    <x v="2"/>
    <x v="2"/>
    <n v="3"/>
    <n v="22.62"/>
    <n v="67.86"/>
    <n v="2.3599999999999994"/>
    <n v="65.5"/>
    <x v="1"/>
    <x v="0"/>
    <x v="2"/>
    <x v="1"/>
  </r>
  <r>
    <x v="62"/>
    <x v="9"/>
    <x v="3"/>
    <x v="4"/>
    <x v="3"/>
    <n v="3"/>
    <n v="295.91000000000003"/>
    <n v="887.73"/>
    <n v="838.73"/>
    <n v="49"/>
    <x v="2"/>
    <x v="2"/>
    <x v="3"/>
    <x v="2"/>
  </r>
  <r>
    <x v="33"/>
    <x v="7"/>
    <x v="3"/>
    <x v="2"/>
    <x v="0"/>
    <n v="3"/>
    <n v="183.7"/>
    <n v="551.1"/>
    <n v="511.1"/>
    <n v="40"/>
    <x v="0"/>
    <x v="1"/>
    <x v="0"/>
    <x v="0"/>
  </r>
  <r>
    <x v="63"/>
    <x v="9"/>
    <x v="3"/>
    <x v="3"/>
    <x v="1"/>
    <n v="3"/>
    <n v="269.45999999999998"/>
    <n v="808.38"/>
    <n v="748.38"/>
    <n v="60"/>
    <x v="1"/>
    <x v="0"/>
    <x v="1"/>
    <x v="1"/>
  </r>
  <r>
    <x v="64"/>
    <x v="9"/>
    <x v="3"/>
    <x v="1"/>
    <x v="0"/>
    <n v="4"/>
    <n v="211.28"/>
    <n v="845.12"/>
    <n v="779.62"/>
    <n v="65.5"/>
    <x v="2"/>
    <x v="1"/>
    <x v="2"/>
    <x v="2"/>
  </r>
  <r>
    <x v="26"/>
    <x v="1"/>
    <x v="0"/>
    <x v="2"/>
    <x v="1"/>
    <n v="5"/>
    <n v="362.47"/>
    <n v="1812.35"/>
    <n v="1763.35"/>
    <n v="49"/>
    <x v="0"/>
    <x v="0"/>
    <x v="3"/>
    <x v="0"/>
  </r>
  <r>
    <x v="11"/>
    <x v="11"/>
    <x v="4"/>
    <x v="3"/>
    <x v="3"/>
    <n v="8"/>
    <n v="259.56"/>
    <n v="2076.48"/>
    <n v="2036.48"/>
    <n v="40"/>
    <x v="1"/>
    <x v="0"/>
    <x v="0"/>
    <x v="1"/>
  </r>
  <r>
    <x v="48"/>
    <x v="1"/>
    <x v="0"/>
    <x v="2"/>
    <x v="3"/>
    <n v="1"/>
    <n v="134.63"/>
    <n v="134.63"/>
    <n v="74.63"/>
    <n v="60"/>
    <x v="2"/>
    <x v="2"/>
    <x v="1"/>
    <x v="2"/>
  </r>
  <r>
    <x v="65"/>
    <x v="9"/>
    <x v="3"/>
    <x v="3"/>
    <x v="1"/>
    <n v="10"/>
    <n v="272.01"/>
    <n v="2720.1"/>
    <n v="2654.6"/>
    <n v="65.5"/>
    <x v="0"/>
    <x v="1"/>
    <x v="2"/>
    <x v="0"/>
  </r>
  <r>
    <x v="66"/>
    <x v="5"/>
    <x v="2"/>
    <x v="3"/>
    <x v="3"/>
    <n v="4"/>
    <n v="265.89"/>
    <n v="1063.56"/>
    <n v="1014.56"/>
    <n v="49"/>
    <x v="1"/>
    <x v="0"/>
    <x v="3"/>
    <x v="1"/>
  </r>
  <r>
    <x v="67"/>
    <x v="7"/>
    <x v="3"/>
    <x v="0"/>
    <x v="1"/>
    <n v="4"/>
    <n v="327.41000000000003"/>
    <n v="1309.6400000000001"/>
    <n v="1269.6400000000001"/>
    <n v="40"/>
    <x v="2"/>
    <x v="0"/>
    <x v="0"/>
    <x v="2"/>
  </r>
  <r>
    <x v="68"/>
    <x v="6"/>
    <x v="1"/>
    <x v="0"/>
    <x v="0"/>
    <n v="2"/>
    <n v="395.91"/>
    <n v="791.82"/>
    <n v="731.82"/>
    <n v="60"/>
    <x v="0"/>
    <x v="2"/>
    <x v="1"/>
    <x v="0"/>
  </r>
  <r>
    <x v="69"/>
    <x v="8"/>
    <x v="3"/>
    <x v="1"/>
    <x v="1"/>
    <n v="10"/>
    <n v="66.56"/>
    <n v="665.6"/>
    <n v="600.1"/>
    <n v="65.5"/>
    <x v="1"/>
    <x v="1"/>
    <x v="2"/>
    <x v="1"/>
  </r>
  <r>
    <x v="70"/>
    <x v="5"/>
    <x v="2"/>
    <x v="3"/>
    <x v="2"/>
    <n v="5"/>
    <n v="432.3"/>
    <n v="2161.5"/>
    <n v="2112.5"/>
    <n v="49"/>
    <x v="2"/>
    <x v="0"/>
    <x v="3"/>
    <x v="2"/>
  </r>
  <r>
    <x v="71"/>
    <x v="4"/>
    <x v="0"/>
    <x v="2"/>
    <x v="2"/>
    <n v="7"/>
    <n v="272.05"/>
    <n v="1904.35"/>
    <n v="1864.35"/>
    <n v="40"/>
    <x v="0"/>
    <x v="0"/>
    <x v="0"/>
    <x v="0"/>
  </r>
  <r>
    <x v="72"/>
    <x v="6"/>
    <x v="1"/>
    <x v="3"/>
    <x v="3"/>
    <n v="7"/>
    <n v="301.27999999999997"/>
    <n v="2108.96"/>
    <n v="2048.96"/>
    <n v="60"/>
    <x v="1"/>
    <x v="2"/>
    <x v="1"/>
    <x v="1"/>
  </r>
  <r>
    <x v="73"/>
    <x v="4"/>
    <x v="0"/>
    <x v="2"/>
    <x v="0"/>
    <n v="9"/>
    <n v="23.52"/>
    <n v="211.68"/>
    <n v="146.18"/>
    <n v="65.5"/>
    <x v="2"/>
    <x v="0"/>
    <x v="2"/>
    <x v="2"/>
  </r>
  <r>
    <x v="74"/>
    <x v="17"/>
    <x v="4"/>
    <x v="1"/>
    <x v="0"/>
    <n v="6"/>
    <n v="281.85000000000002"/>
    <n v="1691.1"/>
    <n v="1642.1"/>
    <n v="49"/>
    <x v="0"/>
    <x v="1"/>
    <x v="3"/>
    <x v="0"/>
  </r>
  <r>
    <x v="75"/>
    <x v="0"/>
    <x v="0"/>
    <x v="3"/>
    <x v="2"/>
    <n v="6"/>
    <n v="157.88"/>
    <n v="947.28"/>
    <n v="907.28"/>
    <n v="40"/>
    <x v="1"/>
    <x v="2"/>
    <x v="0"/>
    <x v="1"/>
  </r>
  <r>
    <x v="76"/>
    <x v="17"/>
    <x v="4"/>
    <x v="1"/>
    <x v="0"/>
    <n v="7"/>
    <n v="98.66"/>
    <n v="690.62"/>
    <n v="630.62"/>
    <n v="60"/>
    <x v="2"/>
    <x v="0"/>
    <x v="1"/>
    <x v="2"/>
  </r>
  <r>
    <x v="77"/>
    <x v="17"/>
    <x v="4"/>
    <x v="2"/>
    <x v="2"/>
    <n v="2"/>
    <n v="37.119999999999997"/>
    <n v="74.239999999999995"/>
    <n v="8.7399999999999949"/>
    <n v="65.5"/>
    <x v="0"/>
    <x v="1"/>
    <x v="2"/>
    <x v="0"/>
  </r>
  <r>
    <x v="78"/>
    <x v="12"/>
    <x v="2"/>
    <x v="2"/>
    <x v="0"/>
    <n v="9"/>
    <n v="191.38"/>
    <n v="1722.42"/>
    <n v="1673.42"/>
    <n v="49"/>
    <x v="1"/>
    <x v="2"/>
    <x v="3"/>
    <x v="1"/>
  </r>
  <r>
    <x v="79"/>
    <x v="10"/>
    <x v="2"/>
    <x v="3"/>
    <x v="1"/>
    <n v="2"/>
    <n v="301.12"/>
    <n v="602.24"/>
    <n v="562.24"/>
    <n v="40"/>
    <x v="2"/>
    <x v="0"/>
    <x v="0"/>
    <x v="2"/>
  </r>
  <r>
    <x v="54"/>
    <x v="15"/>
    <x v="4"/>
    <x v="4"/>
    <x v="3"/>
    <n v="4"/>
    <n v="415.24"/>
    <n v="1660.96"/>
    <n v="1600.96"/>
    <n v="60"/>
    <x v="0"/>
    <x v="0"/>
    <x v="1"/>
    <x v="0"/>
  </r>
  <r>
    <x v="80"/>
    <x v="10"/>
    <x v="2"/>
    <x v="2"/>
    <x v="0"/>
    <n v="3"/>
    <n v="115.83"/>
    <n v="347.49"/>
    <n v="281.99"/>
    <n v="65.5"/>
    <x v="1"/>
    <x v="1"/>
    <x v="2"/>
    <x v="1"/>
  </r>
  <r>
    <x v="81"/>
    <x v="18"/>
    <x v="1"/>
    <x v="2"/>
    <x v="3"/>
    <n v="6"/>
    <n v="229.86"/>
    <n v="1379.16"/>
    <n v="1330.16"/>
    <n v="49"/>
    <x v="2"/>
    <x v="0"/>
    <x v="3"/>
    <x v="2"/>
  </r>
  <r>
    <x v="82"/>
    <x v="8"/>
    <x v="3"/>
    <x v="3"/>
    <x v="2"/>
    <n v="10"/>
    <n v="98.84"/>
    <n v="988.4"/>
    <n v="948.4"/>
    <n v="40"/>
    <x v="0"/>
    <x v="2"/>
    <x v="0"/>
    <x v="0"/>
  </r>
  <r>
    <x v="83"/>
    <x v="19"/>
    <x v="4"/>
    <x v="3"/>
    <x v="1"/>
    <n v="10"/>
    <n v="200.83"/>
    <n v="2008.3"/>
    <n v="1948.3"/>
    <n v="60"/>
    <x v="1"/>
    <x v="1"/>
    <x v="1"/>
    <x v="1"/>
  </r>
  <r>
    <x v="5"/>
    <x v="4"/>
    <x v="0"/>
    <x v="1"/>
    <x v="3"/>
    <n v="1"/>
    <n v="310.54000000000002"/>
    <n v="310.54000000000002"/>
    <n v="245.04000000000002"/>
    <n v="65.5"/>
    <x v="2"/>
    <x v="0"/>
    <x v="2"/>
    <x v="2"/>
  </r>
  <r>
    <x v="43"/>
    <x v="5"/>
    <x v="2"/>
    <x v="3"/>
    <x v="1"/>
    <n v="8"/>
    <n v="228.57"/>
    <n v="1828.56"/>
    <n v="1779.56"/>
    <n v="49"/>
    <x v="0"/>
    <x v="2"/>
    <x v="3"/>
    <x v="0"/>
  </r>
  <r>
    <x v="84"/>
    <x v="7"/>
    <x v="3"/>
    <x v="4"/>
    <x v="2"/>
    <n v="2"/>
    <n v="495.03"/>
    <n v="990.06"/>
    <n v="950.06"/>
    <n v="40"/>
    <x v="1"/>
    <x v="0"/>
    <x v="0"/>
    <x v="1"/>
  </r>
  <r>
    <x v="85"/>
    <x v="18"/>
    <x v="1"/>
    <x v="3"/>
    <x v="3"/>
    <n v="7"/>
    <n v="75.27"/>
    <n v="526.89"/>
    <n v="466.89"/>
    <n v="60"/>
    <x v="2"/>
    <x v="1"/>
    <x v="1"/>
    <x v="2"/>
  </r>
  <r>
    <x v="86"/>
    <x v="2"/>
    <x v="1"/>
    <x v="1"/>
    <x v="0"/>
    <n v="6"/>
    <n v="156.28"/>
    <n v="937.68"/>
    <n v="872.18"/>
    <n v="65.5"/>
    <x v="0"/>
    <x v="0"/>
    <x v="2"/>
    <x v="0"/>
  </r>
  <r>
    <x v="50"/>
    <x v="5"/>
    <x v="2"/>
    <x v="2"/>
    <x v="3"/>
    <n v="5"/>
    <n v="273.58"/>
    <n v="1367.9"/>
    <n v="1318.9"/>
    <n v="49"/>
    <x v="1"/>
    <x v="2"/>
    <x v="3"/>
    <x v="1"/>
  </r>
  <r>
    <x v="87"/>
    <x v="0"/>
    <x v="0"/>
    <x v="3"/>
    <x v="1"/>
    <n v="9"/>
    <n v="393.82"/>
    <n v="3544.38"/>
    <n v="3504.38"/>
    <n v="40"/>
    <x v="2"/>
    <x v="0"/>
    <x v="0"/>
    <x v="2"/>
  </r>
  <r>
    <x v="75"/>
    <x v="9"/>
    <x v="3"/>
    <x v="4"/>
    <x v="2"/>
    <n v="5"/>
    <n v="439.15"/>
    <n v="2195.75"/>
    <n v="2135.75"/>
    <n v="60"/>
    <x v="0"/>
    <x v="1"/>
    <x v="1"/>
    <x v="0"/>
  </r>
  <r>
    <x v="46"/>
    <x v="9"/>
    <x v="3"/>
    <x v="4"/>
    <x v="2"/>
    <n v="5"/>
    <n v="417.04"/>
    <n v="2085.1999999999998"/>
    <n v="2019.6999999999998"/>
    <n v="65.5"/>
    <x v="1"/>
    <x v="0"/>
    <x v="2"/>
    <x v="1"/>
  </r>
  <r>
    <x v="11"/>
    <x v="9"/>
    <x v="3"/>
    <x v="2"/>
    <x v="1"/>
    <n v="7"/>
    <n v="178.61"/>
    <n v="1250.27"/>
    <n v="1201.27"/>
    <n v="49"/>
    <x v="2"/>
    <x v="2"/>
    <x v="3"/>
    <x v="2"/>
  </r>
  <r>
    <x v="88"/>
    <x v="15"/>
    <x v="4"/>
    <x v="2"/>
    <x v="0"/>
    <n v="7"/>
    <n v="161.06"/>
    <n v="1127.42"/>
    <n v="1087.42"/>
    <n v="40"/>
    <x v="0"/>
    <x v="0"/>
    <x v="0"/>
    <x v="0"/>
  </r>
  <r>
    <x v="89"/>
    <x v="8"/>
    <x v="3"/>
    <x v="1"/>
    <x v="3"/>
    <n v="4"/>
    <n v="23.62"/>
    <n v="94.48"/>
    <n v="34.480000000000004"/>
    <n v="60"/>
    <x v="1"/>
    <x v="1"/>
    <x v="1"/>
    <x v="1"/>
  </r>
  <r>
    <x v="29"/>
    <x v="5"/>
    <x v="2"/>
    <x v="0"/>
    <x v="1"/>
    <n v="1"/>
    <n v="340.59"/>
    <n v="340.59"/>
    <n v="275.08999999999997"/>
    <n v="65.5"/>
    <x v="2"/>
    <x v="2"/>
    <x v="2"/>
    <x v="2"/>
  </r>
  <r>
    <x v="44"/>
    <x v="12"/>
    <x v="2"/>
    <x v="0"/>
    <x v="0"/>
    <n v="2"/>
    <n v="362.31"/>
    <n v="724.62"/>
    <n v="675.62"/>
    <n v="49"/>
    <x v="0"/>
    <x v="0"/>
    <x v="3"/>
    <x v="0"/>
  </r>
  <r>
    <x v="90"/>
    <x v="14"/>
    <x v="3"/>
    <x v="2"/>
    <x v="2"/>
    <n v="8"/>
    <n v="418.71"/>
    <n v="3349.68"/>
    <n v="3309.68"/>
    <n v="40"/>
    <x v="1"/>
    <x v="1"/>
    <x v="0"/>
    <x v="1"/>
  </r>
  <r>
    <x v="91"/>
    <x v="2"/>
    <x v="1"/>
    <x v="0"/>
    <x v="3"/>
    <n v="6"/>
    <n v="111.13"/>
    <n v="666.78"/>
    <n v="606.78"/>
    <n v="60"/>
    <x v="2"/>
    <x v="0"/>
    <x v="1"/>
    <x v="2"/>
  </r>
  <r>
    <x v="92"/>
    <x v="14"/>
    <x v="3"/>
    <x v="2"/>
    <x v="2"/>
    <n v="9"/>
    <n v="484.72"/>
    <n v="4362.4799999999996"/>
    <n v="4296.9799999999996"/>
    <n v="65.5"/>
    <x v="0"/>
    <x v="0"/>
    <x v="2"/>
    <x v="0"/>
  </r>
  <r>
    <x v="93"/>
    <x v="6"/>
    <x v="1"/>
    <x v="2"/>
    <x v="1"/>
    <n v="1"/>
    <n v="67.53"/>
    <n v="67.53"/>
    <n v="18.53"/>
    <n v="49"/>
    <x v="1"/>
    <x v="1"/>
    <x v="3"/>
    <x v="1"/>
  </r>
  <r>
    <x v="90"/>
    <x v="13"/>
    <x v="2"/>
    <x v="2"/>
    <x v="1"/>
    <n v="2"/>
    <n v="368.03"/>
    <n v="736.06"/>
    <n v="696.06"/>
    <n v="40"/>
    <x v="2"/>
    <x v="0"/>
    <x v="0"/>
    <x v="2"/>
  </r>
  <r>
    <x v="94"/>
    <x v="4"/>
    <x v="0"/>
    <x v="4"/>
    <x v="1"/>
    <n v="1"/>
    <n v="372.87"/>
    <n v="372.87"/>
    <n v="312.87"/>
    <n v="60"/>
    <x v="0"/>
    <x v="2"/>
    <x v="1"/>
    <x v="0"/>
  </r>
  <r>
    <x v="95"/>
    <x v="0"/>
    <x v="0"/>
    <x v="2"/>
    <x v="3"/>
    <n v="10"/>
    <n v="51.96"/>
    <n v="519.6"/>
    <n v="454.1"/>
    <n v="65.5"/>
    <x v="1"/>
    <x v="1"/>
    <x v="2"/>
    <x v="1"/>
  </r>
  <r>
    <x v="96"/>
    <x v="15"/>
    <x v="4"/>
    <x v="3"/>
    <x v="1"/>
    <n v="8"/>
    <n v="434.36"/>
    <n v="3474.88"/>
    <n v="3425.88"/>
    <n v="49"/>
    <x v="2"/>
    <x v="0"/>
    <x v="3"/>
    <x v="2"/>
  </r>
  <r>
    <x v="14"/>
    <x v="16"/>
    <x v="1"/>
    <x v="1"/>
    <x v="2"/>
    <n v="3"/>
    <n v="400.96"/>
    <n v="1202.8800000000001"/>
    <n v="1162.8800000000001"/>
    <n v="40"/>
    <x v="0"/>
    <x v="1"/>
    <x v="0"/>
    <x v="0"/>
  </r>
  <r>
    <x v="44"/>
    <x v="15"/>
    <x v="4"/>
    <x v="4"/>
    <x v="1"/>
    <n v="1"/>
    <n v="55.02"/>
    <n v="55.02"/>
    <n v="-4.9799999999999969"/>
    <n v="60"/>
    <x v="1"/>
    <x v="0"/>
    <x v="1"/>
    <x v="1"/>
  </r>
  <r>
    <x v="97"/>
    <x v="12"/>
    <x v="2"/>
    <x v="0"/>
    <x v="2"/>
    <n v="5"/>
    <n v="187.23"/>
    <n v="936.15"/>
    <n v="870.65"/>
    <n v="65.5"/>
    <x v="2"/>
    <x v="0"/>
    <x v="2"/>
    <x v="2"/>
  </r>
  <r>
    <x v="98"/>
    <x v="13"/>
    <x v="2"/>
    <x v="3"/>
    <x v="1"/>
    <n v="9"/>
    <n v="202.72"/>
    <n v="1824.48"/>
    <n v="1775.48"/>
    <n v="49"/>
    <x v="0"/>
    <x v="1"/>
    <x v="3"/>
    <x v="0"/>
  </r>
  <r>
    <x v="99"/>
    <x v="13"/>
    <x v="2"/>
    <x v="0"/>
    <x v="2"/>
    <n v="3"/>
    <n v="276.01"/>
    <n v="828.03"/>
    <n v="788.03"/>
    <n v="40"/>
    <x v="1"/>
    <x v="2"/>
    <x v="0"/>
    <x v="1"/>
  </r>
  <r>
    <x v="100"/>
    <x v="8"/>
    <x v="3"/>
    <x v="4"/>
    <x v="1"/>
    <n v="10"/>
    <n v="281.43"/>
    <n v="2814.3"/>
    <n v="2754.3"/>
    <n v="60"/>
    <x v="2"/>
    <x v="0"/>
    <x v="1"/>
    <x v="2"/>
  </r>
  <r>
    <x v="101"/>
    <x v="15"/>
    <x v="4"/>
    <x v="3"/>
    <x v="2"/>
    <n v="7"/>
    <n v="483.02"/>
    <n v="3381.14"/>
    <n v="3315.64"/>
    <n v="65.5"/>
    <x v="0"/>
    <x v="1"/>
    <x v="2"/>
    <x v="0"/>
  </r>
  <r>
    <x v="102"/>
    <x v="14"/>
    <x v="3"/>
    <x v="3"/>
    <x v="0"/>
    <n v="10"/>
    <n v="84.68"/>
    <n v="846.8"/>
    <n v="797.8"/>
    <n v="49"/>
    <x v="1"/>
    <x v="0"/>
    <x v="3"/>
    <x v="1"/>
  </r>
  <r>
    <x v="103"/>
    <x v="5"/>
    <x v="2"/>
    <x v="0"/>
    <x v="3"/>
    <n v="3"/>
    <n v="306.7"/>
    <n v="920.1"/>
    <n v="880.1"/>
    <n v="40"/>
    <x v="2"/>
    <x v="0"/>
    <x v="0"/>
    <x v="2"/>
  </r>
  <r>
    <x v="104"/>
    <x v="5"/>
    <x v="2"/>
    <x v="3"/>
    <x v="2"/>
    <n v="2"/>
    <n v="68.94"/>
    <n v="137.88"/>
    <n v="77.88"/>
    <n v="60"/>
    <x v="0"/>
    <x v="2"/>
    <x v="1"/>
    <x v="0"/>
  </r>
  <r>
    <x v="105"/>
    <x v="10"/>
    <x v="2"/>
    <x v="0"/>
    <x v="3"/>
    <n v="7"/>
    <n v="483.1"/>
    <n v="3381.7"/>
    <n v="3316.2"/>
    <n v="65.5"/>
    <x v="1"/>
    <x v="0"/>
    <x v="2"/>
    <x v="1"/>
  </r>
  <r>
    <x v="106"/>
    <x v="15"/>
    <x v="4"/>
    <x v="3"/>
    <x v="1"/>
    <n v="2"/>
    <n v="439.62"/>
    <n v="879.24"/>
    <n v="830.24"/>
    <n v="49"/>
    <x v="2"/>
    <x v="1"/>
    <x v="3"/>
    <x v="2"/>
  </r>
  <r>
    <x v="58"/>
    <x v="14"/>
    <x v="3"/>
    <x v="4"/>
    <x v="3"/>
    <n v="9"/>
    <n v="153.18"/>
    <n v="1378.62"/>
    <n v="1338.62"/>
    <n v="40"/>
    <x v="0"/>
    <x v="0"/>
    <x v="0"/>
    <x v="0"/>
  </r>
  <r>
    <x v="103"/>
    <x v="8"/>
    <x v="3"/>
    <x v="3"/>
    <x v="0"/>
    <n v="5"/>
    <n v="51.53"/>
    <n v="257.64999999999998"/>
    <n v="197.64999999999998"/>
    <n v="60"/>
    <x v="1"/>
    <x v="0"/>
    <x v="1"/>
    <x v="1"/>
  </r>
  <r>
    <x v="107"/>
    <x v="6"/>
    <x v="1"/>
    <x v="2"/>
    <x v="3"/>
    <n v="4"/>
    <n v="231.62"/>
    <n v="926.48"/>
    <n v="860.98"/>
    <n v="65.5"/>
    <x v="2"/>
    <x v="1"/>
    <x v="2"/>
    <x v="2"/>
  </r>
  <r>
    <x v="87"/>
    <x v="9"/>
    <x v="3"/>
    <x v="3"/>
    <x v="2"/>
    <n v="5"/>
    <n v="303.83999999999997"/>
    <n v="1519.2"/>
    <n v="1470.2"/>
    <n v="49"/>
    <x v="0"/>
    <x v="2"/>
    <x v="3"/>
    <x v="0"/>
  </r>
  <r>
    <x v="0"/>
    <x v="9"/>
    <x v="3"/>
    <x v="4"/>
    <x v="3"/>
    <n v="9"/>
    <n v="374.31"/>
    <n v="3368.79"/>
    <n v="3328.79"/>
    <n v="40"/>
    <x v="1"/>
    <x v="0"/>
    <x v="0"/>
    <x v="1"/>
  </r>
  <r>
    <x v="108"/>
    <x v="5"/>
    <x v="2"/>
    <x v="4"/>
    <x v="1"/>
    <n v="5"/>
    <n v="158.87"/>
    <n v="794.35"/>
    <n v="734.35"/>
    <n v="60"/>
    <x v="2"/>
    <x v="0"/>
    <x v="1"/>
    <x v="2"/>
  </r>
  <r>
    <x v="109"/>
    <x v="18"/>
    <x v="1"/>
    <x v="4"/>
    <x v="3"/>
    <n v="3"/>
    <n v="174.34"/>
    <n v="523.02"/>
    <n v="457.52"/>
    <n v="65.5"/>
    <x v="0"/>
    <x v="0"/>
    <x v="2"/>
    <x v="0"/>
  </r>
  <r>
    <x v="110"/>
    <x v="16"/>
    <x v="1"/>
    <x v="1"/>
    <x v="3"/>
    <n v="6"/>
    <n v="237.96"/>
    <n v="1427.76"/>
    <n v="1378.76"/>
    <n v="49"/>
    <x v="1"/>
    <x v="1"/>
    <x v="3"/>
    <x v="1"/>
  </r>
  <r>
    <x v="21"/>
    <x v="6"/>
    <x v="1"/>
    <x v="0"/>
    <x v="0"/>
    <n v="1"/>
    <n v="347.92"/>
    <n v="347.92"/>
    <n v="307.92"/>
    <n v="40"/>
    <x v="2"/>
    <x v="2"/>
    <x v="0"/>
    <x v="2"/>
  </r>
  <r>
    <x v="111"/>
    <x v="12"/>
    <x v="2"/>
    <x v="0"/>
    <x v="3"/>
    <n v="9"/>
    <n v="227.15"/>
    <n v="2044.35"/>
    <n v="1984.35"/>
    <n v="60"/>
    <x v="0"/>
    <x v="0"/>
    <x v="1"/>
    <x v="0"/>
  </r>
  <r>
    <x v="78"/>
    <x v="14"/>
    <x v="3"/>
    <x v="1"/>
    <x v="2"/>
    <n v="7"/>
    <n v="459.54"/>
    <n v="3216.78"/>
    <n v="3151.28"/>
    <n v="65.5"/>
    <x v="1"/>
    <x v="0"/>
    <x v="2"/>
    <x v="1"/>
  </r>
  <r>
    <x v="112"/>
    <x v="15"/>
    <x v="4"/>
    <x v="2"/>
    <x v="1"/>
    <n v="8"/>
    <n v="103.76"/>
    <n v="830.08"/>
    <n v="781.08"/>
    <n v="49"/>
    <x v="2"/>
    <x v="1"/>
    <x v="3"/>
    <x v="2"/>
  </r>
  <r>
    <x v="113"/>
    <x v="4"/>
    <x v="0"/>
    <x v="1"/>
    <x v="2"/>
    <n v="4"/>
    <n v="162.47999999999999"/>
    <n v="649.91999999999996"/>
    <n v="609.91999999999996"/>
    <n v="40"/>
    <x v="0"/>
    <x v="0"/>
    <x v="0"/>
    <x v="0"/>
  </r>
  <r>
    <x v="114"/>
    <x v="9"/>
    <x v="3"/>
    <x v="0"/>
    <x v="1"/>
    <n v="10"/>
    <n v="276.17"/>
    <n v="2761.7"/>
    <n v="2701.7"/>
    <n v="60"/>
    <x v="1"/>
    <x v="2"/>
    <x v="1"/>
    <x v="1"/>
  </r>
  <r>
    <x v="115"/>
    <x v="19"/>
    <x v="4"/>
    <x v="1"/>
    <x v="0"/>
    <n v="1"/>
    <n v="154.79"/>
    <n v="154.79"/>
    <n v="89.289999999999992"/>
    <n v="65.5"/>
    <x v="2"/>
    <x v="0"/>
    <x v="2"/>
    <x v="2"/>
  </r>
  <r>
    <x v="116"/>
    <x v="0"/>
    <x v="0"/>
    <x v="0"/>
    <x v="3"/>
    <n v="6"/>
    <n v="482.61"/>
    <n v="2895.66"/>
    <n v="2846.66"/>
    <n v="49"/>
    <x v="0"/>
    <x v="1"/>
    <x v="3"/>
    <x v="0"/>
  </r>
  <r>
    <x v="117"/>
    <x v="18"/>
    <x v="1"/>
    <x v="2"/>
    <x v="3"/>
    <n v="1"/>
    <n v="96.33"/>
    <n v="96.33"/>
    <n v="56.33"/>
    <n v="40"/>
    <x v="1"/>
    <x v="2"/>
    <x v="0"/>
    <x v="1"/>
  </r>
  <r>
    <x v="118"/>
    <x v="19"/>
    <x v="4"/>
    <x v="1"/>
    <x v="3"/>
    <n v="6"/>
    <n v="465.34"/>
    <n v="2792.04"/>
    <n v="2732.04"/>
    <n v="60"/>
    <x v="2"/>
    <x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F617FF-3769-4B6D-95D1-CED3EBAE46BE}" name="Sales per cat"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F9"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6">
        <item x="4"/>
        <item x="1"/>
        <item x="2"/>
        <item x="0"/>
        <item x="3"/>
        <item t="default"/>
      </items>
    </pivotField>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 Sale" fld="7" baseField="0" baseItem="0" numFmtId="164"/>
  </dataFields>
  <formats count="2">
    <format dxfId="210">
      <pivotArea grandRow="1" outline="0" collapsedLevelsAreSubtotals="1" fieldPosition="0"/>
    </format>
    <format dxfId="2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296CAD-A979-4CBC-A5BC-44A694B8973C}" name="order statu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T3:V7" firstHeaderRow="0"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21">
        <item x="12"/>
        <item x="3"/>
        <item x="1"/>
        <item x="9"/>
        <item x="17"/>
        <item x="14"/>
        <item x="13"/>
        <item x="18"/>
        <item x="16"/>
        <item x="4"/>
        <item x="5"/>
        <item x="19"/>
        <item x="11"/>
        <item x="15"/>
        <item x="10"/>
        <item x="2"/>
        <item x="0"/>
        <item x="8"/>
        <item x="6"/>
        <item x="7"/>
        <item t="default"/>
      </items>
    </pivotField>
    <pivotField showAll="0">
      <items count="6">
        <item x="4"/>
        <item x="1"/>
        <item x="2"/>
        <item x="0"/>
        <item x="3"/>
        <item t="default"/>
      </items>
    </pivotField>
    <pivotField showAll="0">
      <items count="6">
        <item x="2"/>
        <item x="1"/>
        <item x="0"/>
        <item x="4"/>
        <item x="3"/>
        <item t="default"/>
      </items>
    </pivotField>
    <pivotField showAll="0">
      <items count="5">
        <item x="1"/>
        <item x="3"/>
        <item x="2"/>
        <item x="0"/>
        <item t="default"/>
      </items>
    </pivotField>
    <pivotField dataField="1" showAll="0"/>
    <pivotField showAll="0"/>
    <pivotField showAll="0"/>
    <pivotField showAll="0"/>
    <pivotField showAll="0"/>
    <pivotField showAll="0">
      <items count="4">
        <item x="1"/>
        <item x="0"/>
        <item x="2"/>
        <item t="default"/>
      </items>
    </pivotField>
    <pivotField axis="axisRow" showAll="0">
      <items count="4">
        <item x="2"/>
        <item x="0"/>
        <item x="1"/>
        <item t="default"/>
      </items>
    </pivotField>
    <pivotField showAll="0">
      <items count="5">
        <item x="0"/>
        <item x="2"/>
        <item x="3"/>
        <item x="1"/>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Fields count="1">
    <field x="-2"/>
  </colFields>
  <colItems count="2">
    <i>
      <x/>
    </i>
    <i i="1">
      <x v="1"/>
    </i>
  </colItems>
  <dataFields count="2">
    <dataField name="Count of Product Name" fld="1" subtotal="count" baseField="0" baseItem="0"/>
    <dataField name="Sum of Quantity Sold" fld="5" baseField="0" baseItem="0"/>
  </dataFields>
  <formats count="4">
    <format dxfId="214">
      <pivotArea grandRow="1" outline="0" collapsedLevelsAreSubtotals="1" fieldPosition="0"/>
    </format>
    <format dxfId="213">
      <pivotArea outline="0" collapsedLevelsAreSubtotals="1" fieldPosition="0"/>
    </format>
    <format dxfId="212">
      <pivotArea outline="0" collapsedLevelsAreSubtotals="1" fieldPosition="0">
        <references count="1">
          <reference field="4294967294" count="1" selected="0">
            <x v="0"/>
          </reference>
        </references>
      </pivotArea>
    </format>
    <format dxfId="21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432B74-784E-48D1-94D4-2F33CAD2312F}" name="sales by representativa"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Q3:R8"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4"/>
        <item x="1"/>
        <item x="2"/>
        <item x="0"/>
        <item x="3"/>
        <item t="default"/>
      </items>
    </pivotField>
    <pivotField axis="axisRow" showAll="0" measureFilter="1" sortType="descending">
      <items count="6">
        <item x="2"/>
        <item x="1"/>
        <item x="0"/>
        <item x="4"/>
        <item x="3"/>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items count="5">
        <item x="0"/>
        <item x="2"/>
        <item x="3"/>
        <item x="1"/>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v="4"/>
    </i>
    <i>
      <x/>
    </i>
    <i>
      <x v="1"/>
    </i>
    <i>
      <x v="2"/>
    </i>
    <i t="grand">
      <x/>
    </i>
  </rowItems>
  <colItems count="1">
    <i/>
  </colItems>
  <dataFields count="1">
    <dataField name="Sum of Total Sale" fld="7" baseField="0" baseItem="0" numFmtId="165"/>
  </dataFields>
  <formats count="2">
    <format dxfId="216">
      <pivotArea grandRow="1" outline="0" collapsedLevelsAreSubtotals="1" fieldPosition="0"/>
    </format>
    <format dxfId="2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76F3FE-6790-4681-8AA2-38A333FCC4EC}" name="Profit per region"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C8"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5">
        <item x="1"/>
        <item x="3"/>
        <item x="2"/>
        <item x="0"/>
        <item t="default"/>
      </items>
    </pivotField>
    <pivotField showAll="0"/>
    <pivotField showAll="0"/>
    <pivotField showAll="0"/>
    <pivotField showAll="0"/>
    <pivotField dataField="1" showAll="0"/>
    <pivotField showAll="0">
      <items count="4">
        <item x="1"/>
        <item x="0"/>
        <item x="2"/>
        <item t="default"/>
      </items>
    </pivotField>
    <pivotField showAll="0"/>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Profit" fld="9" baseField="0" baseItem="0" numFmtId="44"/>
  </dataFields>
  <formats count="3">
    <format dxfId="219">
      <pivotArea outline="0" collapsedLevelsAreSubtotals="1" fieldPosition="0"/>
    </format>
    <format dxfId="218">
      <pivotArea grandRow="1" outline="0" collapsedLevelsAreSubtotals="1" fieldPosition="0"/>
    </format>
    <format dxfId="217">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53F0F7-485F-44AF-95FE-19B5778068CA}" name="sales by month"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N3:O16"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4"/>
        <item x="1"/>
        <item x="2"/>
        <item x="0"/>
        <item x="3"/>
        <item t="default"/>
      </items>
    </pivotField>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items count="5">
        <item x="0"/>
        <item x="2"/>
        <item x="3"/>
        <item x="1"/>
        <item t="default"/>
      </items>
    </pivotField>
    <pivotField showAll="0">
      <items count="4">
        <item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 Sale" fld="7" baseField="0" baseItem="0" numFmtId="1"/>
  </dataFields>
  <formats count="2">
    <format dxfId="221">
      <pivotArea grandRow="1" outline="0" collapsedLevelsAreSubtotals="1" fieldPosition="0"/>
    </format>
    <format dxfId="22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277448-FD7D-465F-BD8A-8200AEC78C2E}" name="ranking for manager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3:L8"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4"/>
        <item x="1"/>
        <item x="2"/>
        <item x="0"/>
        <item x="3"/>
        <item t="default"/>
      </items>
    </pivotField>
    <pivotField showAll="0"/>
    <pivotField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axis="axisRow" showAll="0">
      <items count="5">
        <item x="0"/>
        <item x="2"/>
        <item x="3"/>
        <item x="1"/>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Total Sale" fld="7" baseField="0" baseItem="0" numFmtId="164"/>
  </dataFields>
  <formats count="2">
    <format dxfId="223">
      <pivotArea grandRow="1" outline="0" collapsedLevelsAreSubtotals="1" fieldPosition="0"/>
    </format>
    <format dxfId="22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4A0113-A469-4E6E-886E-C254DF62EB1B}" name="sales per region"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3:I8" firstHeaderRow="1" firstDataRow="1" firstDataCol="1"/>
  <pivotFields count="15">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6">
        <item x="4"/>
        <item x="1"/>
        <item x="2"/>
        <item x="0"/>
        <item x="3"/>
        <item t="default"/>
      </items>
    </pivotField>
    <pivotField showAll="0"/>
    <pivotField axis="axisRow" showAll="0">
      <items count="5">
        <item x="1"/>
        <item x="3"/>
        <item x="2"/>
        <item x="0"/>
        <item t="default"/>
      </items>
    </pivotField>
    <pivotField showAll="0"/>
    <pivotField showAll="0"/>
    <pivotField dataField="1" showAll="0"/>
    <pivotField showAll="0"/>
    <pivotField showAll="0"/>
    <pivotField showAll="0">
      <items count="4">
        <item x="1"/>
        <item x="0"/>
        <item x="2"/>
        <item t="default"/>
      </items>
    </pivotField>
    <pivotField showAll="0"/>
    <pivotField showAll="0"/>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 Sale" fld="7" baseField="0" baseItem="0"/>
  </dataFields>
  <formats count="2">
    <format dxfId="225">
      <pivotArea grandRow="1" outline="0" collapsedLevelsAreSubtotals="1" fieldPosition="0"/>
    </format>
    <format dxfId="22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AC5866-C72B-43F5-8C59-621A95B42CF4}" sourceName="Region">
  <pivotTables>
    <pivotTable tabId="4" name="order status"/>
    <pivotTable tabId="4" name="ranking for managers"/>
    <pivotTable tabId="4" name="sales by month"/>
    <pivotTable tabId="4" name="sales by representativa"/>
    <pivotTable tabId="4" name="Sales per cat"/>
  </pivotTables>
  <data>
    <tabular pivotCacheId="142421189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6CB3359-BAA8-4EC1-A730-4399B8295501}" sourceName="Payment Method">
  <pivotTables>
    <pivotTable tabId="4" name="sales per region"/>
    <pivotTable tabId="4" name="order status"/>
    <pivotTable tabId="4" name="Profit per region"/>
    <pivotTable tabId="4" name="ranking for managers"/>
    <pivotTable tabId="4" name="sales by month"/>
    <pivotTable tabId="4" name="sales by representativa"/>
    <pivotTable tabId="4" name="Sales per cat"/>
  </pivotTables>
  <data>
    <tabular pivotCacheId="142421189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AA7CDF3-F8E6-4D61-9FE9-47FE3EF6002D}" sourceName="Customer Type">
  <pivotTables>
    <pivotTable tabId="4" name="sales per region"/>
    <pivotTable tabId="4" name="order status"/>
    <pivotTable tabId="4" name="Profit per region"/>
    <pivotTable tabId="4" name="ranking for managers"/>
    <pivotTable tabId="4" name="sales by month"/>
    <pivotTable tabId="4" name="sales by representativa"/>
    <pivotTable tabId="4" name="Sales per cat"/>
  </pivotTables>
  <data>
    <tabular pivotCacheId="142421189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BF215E-1C5C-4847-AE04-E5A04B91303C}" cache="Slicer_Region" caption="Region" style="Slicer Style 1" rowHeight="144000"/>
  <slicer name="Payment Method" xr10:uid="{F5E615CE-CBF5-45B5-8B2E-5B05CC35C85F}" cache="Slicer_Payment_Method" caption="Payment Method" style="Slicer Style 1" rowHeight="144000"/>
  <slicer name="Customer Type" xr10:uid="{3C25E877-4BD5-4BDB-95DE-654F36A861C4}" cache="Slicer_Customer_Type" style="Slicer Style 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C2BF4-87BA-4DB9-969A-4DB7D18802AA}" name="Table1" displayName="Table1" ref="A4:N154" totalsRowShown="0" headerRowDxfId="208" dataDxfId="207">
  <autoFilter ref="A4:N154" xr:uid="{6C55F0F8-CE81-46A0-9C95-0F4A15D7603E}"/>
  <tableColumns count="14">
    <tableColumn id="1" xr3:uid="{85DEA21C-2461-48E9-B33C-DF2DC44C300E}" name="Date" dataDxfId="206"/>
    <tableColumn id="2" xr3:uid="{D4B00413-66B3-49F2-B94C-BFFCFA706834}" name="Product Name" dataDxfId="205"/>
    <tableColumn id="3" xr3:uid="{5BFA7191-412A-4D82-80EE-AA0F1816C42D}" name="Category" dataDxfId="204"/>
    <tableColumn id="4" xr3:uid="{49F25552-0AD0-4D24-8995-8E7F38D1850D}" name="Sales Representative" dataDxfId="203"/>
    <tableColumn id="5" xr3:uid="{52E81D75-AC0F-4887-93D1-0001247E6872}" name="Region" dataDxfId="202"/>
    <tableColumn id="6" xr3:uid="{38206952-11DB-4425-AB44-58AE5F0FBF5E}" name="Quantity Sold" dataDxfId="201"/>
    <tableColumn id="7" xr3:uid="{94B4DBA1-3061-40BB-B050-81018A4872C5}" name="Unit Price" dataDxfId="200"/>
    <tableColumn id="8" xr3:uid="{D737F503-B263-47C3-BA63-6FF3005600E9}" name="Total Sale" dataDxfId="199"/>
    <tableColumn id="9" xr3:uid="{89F10EB3-BCF2-4AC6-859C-32264EB88542}" name="Cost Price" dataDxfId="198"/>
    <tableColumn id="10" xr3:uid="{EEF13814-8CA1-4172-9017-78AB0BF0C4BB}" name="Profit" dataDxfId="197"/>
    <tableColumn id="11" xr3:uid="{842E6DFD-520D-4383-96BC-40EC15AF2F7C}" name="Payment Method" dataDxfId="196"/>
    <tableColumn id="12" xr3:uid="{B9C9F261-C411-452B-A091-532DF0B0A46E}" name="Order Status" dataDxfId="195"/>
    <tableColumn id="13" xr3:uid="{1A070E99-0B37-4853-9A82-CC10021DD835}" name="Region Manager" dataDxfId="194"/>
    <tableColumn id="14" xr3:uid="{AE7477D2-A110-495E-AB07-AE7B2D8D11FE}" name="Customer Type" dataDxfId="19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6654E-D45B-4275-97F0-E80EA4BCED02}">
  <dimension ref="B1:V16"/>
  <sheetViews>
    <sheetView tabSelected="1" topLeftCell="J1" zoomScaleNormal="100" workbookViewId="0">
      <selection activeCell="F23" sqref="F23"/>
    </sheetView>
  </sheetViews>
  <sheetFormatPr defaultRowHeight="14.25"/>
  <cols>
    <col min="1" max="1" width="2.125" customWidth="1"/>
    <col min="2" max="2" width="13.125" bestFit="1" customWidth="1"/>
    <col min="3" max="3" width="12.375" bestFit="1" customWidth="1"/>
    <col min="4" max="4" width="2.125" customWidth="1"/>
    <col min="5" max="5" width="13.125" bestFit="1" customWidth="1"/>
    <col min="6" max="6" width="16.5" bestFit="1" customWidth="1"/>
    <col min="7" max="7" width="2.125" customWidth="1"/>
    <col min="8" max="8" width="13.125" bestFit="1" customWidth="1"/>
    <col min="9" max="9" width="16.5" bestFit="1" customWidth="1"/>
    <col min="10" max="10" width="2.125" customWidth="1"/>
    <col min="11" max="11" width="13.25" bestFit="1" customWidth="1"/>
    <col min="12" max="12" width="16.5" bestFit="1" customWidth="1"/>
    <col min="13" max="13" width="2.125" customWidth="1"/>
    <col min="14" max="14" width="13.125" bestFit="1" customWidth="1"/>
    <col min="15" max="15" width="16.5" bestFit="1" customWidth="1"/>
    <col min="16" max="16" width="2.5" customWidth="1"/>
    <col min="17" max="17" width="13.125" bestFit="1" customWidth="1"/>
    <col min="18" max="18" width="16.5" bestFit="1" customWidth="1"/>
    <col min="19" max="19" width="2.5" customWidth="1"/>
    <col min="20" max="20" width="13.125" bestFit="1" customWidth="1"/>
    <col min="21" max="21" width="21.875" bestFit="1" customWidth="1"/>
    <col min="22" max="22" width="19.625" bestFit="1" customWidth="1"/>
  </cols>
  <sheetData>
    <row r="1" spans="2:22" ht="15">
      <c r="B1" s="11" t="s">
        <v>64</v>
      </c>
      <c r="C1" s="11"/>
      <c r="E1" s="11" t="s">
        <v>65</v>
      </c>
      <c r="F1" s="11"/>
      <c r="H1" s="11" t="s">
        <v>67</v>
      </c>
      <c r="I1" s="11"/>
      <c r="K1" s="11" t="s">
        <v>68</v>
      </c>
      <c r="L1" s="11"/>
      <c r="N1" s="11" t="s">
        <v>81</v>
      </c>
      <c r="O1" s="11"/>
      <c r="Q1" s="11" t="s">
        <v>82</v>
      </c>
      <c r="R1" s="11"/>
      <c r="T1" s="11" t="s">
        <v>85</v>
      </c>
      <c r="U1" s="11"/>
      <c r="V1" s="11"/>
    </row>
    <row r="3" spans="2:22">
      <c r="B3" s="4" t="s">
        <v>61</v>
      </c>
      <c r="C3" t="s">
        <v>63</v>
      </c>
      <c r="E3" s="4" t="s">
        <v>61</v>
      </c>
      <c r="F3" t="s">
        <v>66</v>
      </c>
      <c r="H3" s="4" t="s">
        <v>61</v>
      </c>
      <c r="I3" t="s">
        <v>66</v>
      </c>
      <c r="K3" s="4" t="s">
        <v>61</v>
      </c>
      <c r="L3" t="s">
        <v>66</v>
      </c>
      <c r="N3" s="4" t="s">
        <v>61</v>
      </c>
      <c r="O3" t="s">
        <v>66</v>
      </c>
      <c r="Q3" s="4" t="s">
        <v>61</v>
      </c>
      <c r="R3" t="s">
        <v>66</v>
      </c>
      <c r="T3" s="4" t="s">
        <v>61</v>
      </c>
      <c r="U3" t="s">
        <v>83</v>
      </c>
      <c r="V3" t="s">
        <v>84</v>
      </c>
    </row>
    <row r="4" spans="2:22">
      <c r="B4" s="5" t="s">
        <v>24</v>
      </c>
      <c r="C4" s="6">
        <v>2101</v>
      </c>
      <c r="E4" s="5" t="s">
        <v>52</v>
      </c>
      <c r="F4" s="6">
        <v>29182.060000000009</v>
      </c>
      <c r="H4" s="5" t="s">
        <v>24</v>
      </c>
      <c r="I4" s="7">
        <v>60100.989999999983</v>
      </c>
      <c r="K4" s="5" t="s">
        <v>20</v>
      </c>
      <c r="L4" s="6">
        <v>48098.529999999992</v>
      </c>
      <c r="N4" s="5" t="s">
        <v>69</v>
      </c>
      <c r="O4" s="8">
        <v>24528.94</v>
      </c>
      <c r="Q4" s="5" t="s">
        <v>48</v>
      </c>
      <c r="R4" s="9">
        <v>55711.05999999999</v>
      </c>
      <c r="T4" s="5" t="s">
        <v>33</v>
      </c>
      <c r="U4" s="7">
        <v>37</v>
      </c>
      <c r="V4" s="7">
        <v>192</v>
      </c>
    </row>
    <row r="5" spans="2:22">
      <c r="B5" s="5" t="s">
        <v>46</v>
      </c>
      <c r="C5" s="6">
        <v>2145</v>
      </c>
      <c r="E5" s="5" t="s">
        <v>30</v>
      </c>
      <c r="F5" s="6">
        <v>27014.35</v>
      </c>
      <c r="H5" s="5" t="s">
        <v>46</v>
      </c>
      <c r="I5" s="7">
        <v>50329.01</v>
      </c>
      <c r="K5" s="5" t="s">
        <v>34</v>
      </c>
      <c r="L5" s="6">
        <v>43679.88</v>
      </c>
      <c r="N5" s="5" t="s">
        <v>70</v>
      </c>
      <c r="O5" s="8">
        <v>15451.27</v>
      </c>
      <c r="Q5" s="5" t="s">
        <v>42</v>
      </c>
      <c r="R5" s="9">
        <v>45222.759999999995</v>
      </c>
      <c r="T5" s="5" t="s">
        <v>19</v>
      </c>
      <c r="U5" s="7">
        <v>71</v>
      </c>
      <c r="V5" s="7">
        <v>373</v>
      </c>
    </row>
    <row r="6" spans="2:22">
      <c r="B6" s="5" t="s">
        <v>31</v>
      </c>
      <c r="C6" s="6">
        <v>2167</v>
      </c>
      <c r="E6" s="5" t="s">
        <v>40</v>
      </c>
      <c r="F6" s="6">
        <v>39309.78</v>
      </c>
      <c r="H6" s="5" t="s">
        <v>31</v>
      </c>
      <c r="I6" s="7">
        <v>67158.789999999994</v>
      </c>
      <c r="K6" s="5" t="s">
        <v>37</v>
      </c>
      <c r="L6" s="6">
        <v>52442.060000000012</v>
      </c>
      <c r="N6" s="5" t="s">
        <v>71</v>
      </c>
      <c r="O6" s="8">
        <v>17672.21</v>
      </c>
      <c r="Q6" s="5" t="s">
        <v>23</v>
      </c>
      <c r="R6" s="9">
        <v>39607.439999999995</v>
      </c>
      <c r="T6" s="5" t="s">
        <v>26</v>
      </c>
      <c r="U6" s="7">
        <v>42</v>
      </c>
      <c r="V6" s="7">
        <v>235</v>
      </c>
    </row>
    <row r="7" spans="2:22">
      <c r="B7" s="5" t="s">
        <v>17</v>
      </c>
      <c r="C7" s="6">
        <v>1623.5</v>
      </c>
      <c r="E7" s="5" t="s">
        <v>15</v>
      </c>
      <c r="F7" s="6">
        <v>51359.740000000005</v>
      </c>
      <c r="H7" s="5" t="s">
        <v>17</v>
      </c>
      <c r="I7" s="7">
        <v>31182.520000000004</v>
      </c>
      <c r="K7" s="5" t="s">
        <v>27</v>
      </c>
      <c r="L7" s="6">
        <v>64550.840000000004</v>
      </c>
      <c r="N7" s="5" t="s">
        <v>72</v>
      </c>
      <c r="O7" s="8">
        <v>25578.950000000004</v>
      </c>
      <c r="Q7" s="5" t="s">
        <v>16</v>
      </c>
      <c r="R7" s="9">
        <v>35076.949999999997</v>
      </c>
      <c r="T7" s="5" t="s">
        <v>62</v>
      </c>
      <c r="U7" s="7">
        <v>150</v>
      </c>
      <c r="V7" s="7">
        <v>800</v>
      </c>
    </row>
    <row r="8" spans="2:22">
      <c r="B8" s="5" t="s">
        <v>62</v>
      </c>
      <c r="C8" s="6">
        <v>8036.5</v>
      </c>
      <c r="E8" s="5" t="s">
        <v>44</v>
      </c>
      <c r="F8" s="6">
        <v>61905.38</v>
      </c>
      <c r="H8" s="5" t="s">
        <v>62</v>
      </c>
      <c r="I8" s="7">
        <v>208771.31</v>
      </c>
      <c r="K8" s="5" t="s">
        <v>62</v>
      </c>
      <c r="L8" s="6">
        <v>208771.31</v>
      </c>
      <c r="N8" s="5" t="s">
        <v>73</v>
      </c>
      <c r="O8" s="8">
        <v>20630.37</v>
      </c>
      <c r="Q8" s="5" t="s">
        <v>62</v>
      </c>
      <c r="R8" s="9">
        <v>175618.20999999996</v>
      </c>
    </row>
    <row r="9" spans="2:22">
      <c r="E9" s="5" t="s">
        <v>62</v>
      </c>
      <c r="F9" s="6">
        <v>208771.31</v>
      </c>
      <c r="N9" s="5" t="s">
        <v>74</v>
      </c>
      <c r="O9" s="8">
        <v>17614.050000000003</v>
      </c>
    </row>
    <row r="10" spans="2:22">
      <c r="N10" s="5" t="s">
        <v>75</v>
      </c>
      <c r="O10" s="8">
        <v>15549.45</v>
      </c>
      <c r="T10" s="5" t="s">
        <v>33</v>
      </c>
      <c r="U10" s="7">
        <v>37</v>
      </c>
    </row>
    <row r="11" spans="2:22">
      <c r="N11" s="5" t="s">
        <v>76</v>
      </c>
      <c r="O11" s="8">
        <v>13249.36</v>
      </c>
      <c r="T11" s="5" t="s">
        <v>19</v>
      </c>
      <c r="U11" s="7">
        <v>71</v>
      </c>
    </row>
    <row r="12" spans="2:22">
      <c r="N12" s="5" t="s">
        <v>77</v>
      </c>
      <c r="O12" s="8">
        <v>33596.710000000006</v>
      </c>
      <c r="T12" s="5" t="s">
        <v>26</v>
      </c>
      <c r="U12" s="7">
        <v>42</v>
      </c>
    </row>
    <row r="13" spans="2:22">
      <c r="N13" s="5" t="s">
        <v>78</v>
      </c>
      <c r="O13" s="8">
        <v>10508.74</v>
      </c>
    </row>
    <row r="14" spans="2:22">
      <c r="N14" s="5" t="s">
        <v>79</v>
      </c>
      <c r="O14" s="8">
        <v>9270.7799999999988</v>
      </c>
    </row>
    <row r="15" spans="2:22">
      <c r="N15" s="5" t="s">
        <v>80</v>
      </c>
      <c r="O15" s="8">
        <v>5120.4799999999996</v>
      </c>
    </row>
    <row r="16" spans="2:22">
      <c r="N16" s="5" t="s">
        <v>62</v>
      </c>
      <c r="O16" s="8">
        <v>208771.31</v>
      </c>
    </row>
  </sheetData>
  <mergeCells count="7">
    <mergeCell ref="Q1:R1"/>
    <mergeCell ref="T1:V1"/>
    <mergeCell ref="B1:C1"/>
    <mergeCell ref="E1:F1"/>
    <mergeCell ref="H1:I1"/>
    <mergeCell ref="K1:L1"/>
    <mergeCell ref="N1:O1"/>
  </mergeCell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BC6C-74BD-4BF3-954A-E110503FBE73}">
  <dimension ref="A1:N154"/>
  <sheetViews>
    <sheetView showGridLines="0" workbookViewId="0"/>
  </sheetViews>
  <sheetFormatPr defaultColWidth="9.125" defaultRowHeight="14.25"/>
  <cols>
    <col min="1" max="1" width="17.125" style="1" bestFit="1" customWidth="1"/>
    <col min="2" max="2" width="15.25" style="1" customWidth="1"/>
    <col min="3" max="3" width="13.625" style="1" bestFit="1" customWidth="1"/>
    <col min="4" max="4" width="21.875" style="1" customWidth="1"/>
    <col min="5" max="5" width="9.125" style="1" customWidth="1"/>
    <col min="6" max="6" width="14.625" style="1" customWidth="1"/>
    <col min="7" max="7" width="11.5" style="1" customWidth="1"/>
    <col min="8" max="8" width="11.625" style="1" customWidth="1"/>
    <col min="9" max="9" width="12" style="1" customWidth="1"/>
    <col min="10" max="10" width="7.625" style="1" customWidth="1"/>
    <col min="11" max="11" width="17.75" style="1" bestFit="1" customWidth="1"/>
    <col min="12" max="12" width="14.125" style="1" customWidth="1"/>
    <col min="13" max="13" width="17.375" style="1" customWidth="1"/>
    <col min="14" max="14" width="16.25" style="1" customWidth="1"/>
    <col min="15" max="16384" width="9.125" style="1"/>
  </cols>
  <sheetData>
    <row r="1" spans="1:14">
      <c r="A1" s="10">
        <f ca="1">NOW()</f>
        <v>45922.929478124999</v>
      </c>
    </row>
    <row r="4" spans="1:14" ht="38.25" customHeight="1">
      <c r="A4" s="3" t="s">
        <v>0</v>
      </c>
      <c r="B4" s="3" t="s">
        <v>1</v>
      </c>
      <c r="C4" s="3" t="s">
        <v>2</v>
      </c>
      <c r="D4" s="3" t="s">
        <v>3</v>
      </c>
      <c r="E4" s="3" t="s">
        <v>4</v>
      </c>
      <c r="F4" s="3" t="s">
        <v>5</v>
      </c>
      <c r="G4" s="3" t="s">
        <v>6</v>
      </c>
      <c r="H4" s="3" t="s">
        <v>7</v>
      </c>
      <c r="I4" s="3" t="s">
        <v>8</v>
      </c>
      <c r="J4" s="3" t="s">
        <v>9</v>
      </c>
      <c r="K4" s="3" t="s">
        <v>10</v>
      </c>
      <c r="L4" s="3" t="s">
        <v>11</v>
      </c>
      <c r="M4" s="3" t="s">
        <v>12</v>
      </c>
      <c r="N4" s="3" t="s">
        <v>13</v>
      </c>
    </row>
    <row r="5" spans="1:14">
      <c r="A5" s="2">
        <v>45313</v>
      </c>
      <c r="B5" s="1" t="s">
        <v>14</v>
      </c>
      <c r="C5" s="1" t="s">
        <v>15</v>
      </c>
      <c r="D5" s="1" t="s">
        <v>16</v>
      </c>
      <c r="E5" s="1" t="s">
        <v>17</v>
      </c>
      <c r="F5" s="1">
        <v>1</v>
      </c>
      <c r="G5" s="1">
        <v>91.81</v>
      </c>
      <c r="H5" s="1">
        <v>91.81</v>
      </c>
      <c r="I5" s="1">
        <v>51.81</v>
      </c>
      <c r="J5" s="1">
        <v>40</v>
      </c>
      <c r="K5" s="1" t="s">
        <v>18</v>
      </c>
      <c r="L5" s="1" t="s">
        <v>19</v>
      </c>
      <c r="M5" s="1" t="s">
        <v>20</v>
      </c>
      <c r="N5" s="1" t="s">
        <v>21</v>
      </c>
    </row>
    <row r="6" spans="1:14">
      <c r="A6" s="2">
        <v>45571</v>
      </c>
      <c r="B6" s="1" t="s">
        <v>22</v>
      </c>
      <c r="C6" s="1" t="s">
        <v>15</v>
      </c>
      <c r="D6" s="1" t="s">
        <v>23</v>
      </c>
      <c r="E6" s="1" t="s">
        <v>24</v>
      </c>
      <c r="F6" s="1">
        <v>9</v>
      </c>
      <c r="G6" s="1">
        <v>462.17</v>
      </c>
      <c r="H6" s="1">
        <v>4159.53</v>
      </c>
      <c r="I6" s="1">
        <v>4099.53</v>
      </c>
      <c r="J6" s="1">
        <v>60</v>
      </c>
      <c r="K6" s="1" t="s">
        <v>25</v>
      </c>
      <c r="L6" s="1" t="s">
        <v>26</v>
      </c>
      <c r="M6" s="1" t="s">
        <v>27</v>
      </c>
      <c r="N6" s="1" t="s">
        <v>28</v>
      </c>
    </row>
    <row r="7" spans="1:14">
      <c r="A7" s="2">
        <v>45615</v>
      </c>
      <c r="B7" s="1" t="s">
        <v>29</v>
      </c>
      <c r="C7" s="1" t="s">
        <v>30</v>
      </c>
      <c r="D7" s="1" t="s">
        <v>23</v>
      </c>
      <c r="E7" s="1" t="s">
        <v>31</v>
      </c>
      <c r="F7" s="1">
        <v>7</v>
      </c>
      <c r="G7" s="1">
        <v>198.67</v>
      </c>
      <c r="H7" s="1">
        <v>1390.69</v>
      </c>
      <c r="I7" s="1">
        <v>1325.19</v>
      </c>
      <c r="J7" s="1">
        <v>65.5</v>
      </c>
      <c r="K7" s="1" t="s">
        <v>32</v>
      </c>
      <c r="L7" s="1" t="s">
        <v>33</v>
      </c>
      <c r="M7" s="1" t="s">
        <v>34</v>
      </c>
      <c r="N7" s="1" t="s">
        <v>35</v>
      </c>
    </row>
    <row r="8" spans="1:14">
      <c r="A8" s="2">
        <v>45530</v>
      </c>
      <c r="B8" s="1" t="s">
        <v>36</v>
      </c>
      <c r="C8" s="1" t="s">
        <v>15</v>
      </c>
      <c r="D8" s="1" t="s">
        <v>23</v>
      </c>
      <c r="E8" s="1" t="s">
        <v>31</v>
      </c>
      <c r="F8" s="1">
        <v>6</v>
      </c>
      <c r="G8" s="1">
        <v>125.67</v>
      </c>
      <c r="H8" s="1">
        <v>754.02</v>
      </c>
      <c r="I8" s="1">
        <v>705.02</v>
      </c>
      <c r="J8" s="1">
        <v>49</v>
      </c>
      <c r="K8" s="1" t="s">
        <v>18</v>
      </c>
      <c r="L8" s="1" t="s">
        <v>19</v>
      </c>
      <c r="M8" s="1" t="s">
        <v>37</v>
      </c>
      <c r="N8" s="1" t="s">
        <v>21</v>
      </c>
    </row>
    <row r="9" spans="1:14">
      <c r="A9" s="2">
        <v>45502</v>
      </c>
      <c r="B9" s="1" t="s">
        <v>38</v>
      </c>
      <c r="C9" s="1" t="s">
        <v>15</v>
      </c>
      <c r="D9" s="1" t="s">
        <v>23</v>
      </c>
      <c r="E9" s="1" t="s">
        <v>24</v>
      </c>
      <c r="F9" s="1">
        <v>5</v>
      </c>
      <c r="G9" s="1">
        <v>244.72</v>
      </c>
      <c r="H9" s="1">
        <v>1223.5999999999999</v>
      </c>
      <c r="I9" s="1">
        <v>1183.5999999999999</v>
      </c>
      <c r="J9" s="1">
        <v>40</v>
      </c>
      <c r="K9" s="1" t="s">
        <v>25</v>
      </c>
      <c r="L9" s="1" t="s">
        <v>26</v>
      </c>
      <c r="M9" s="1" t="s">
        <v>20</v>
      </c>
      <c r="N9" s="1" t="s">
        <v>28</v>
      </c>
    </row>
    <row r="10" spans="1:14">
      <c r="A10" s="2">
        <v>45633</v>
      </c>
      <c r="B10" s="1" t="s">
        <v>39</v>
      </c>
      <c r="C10" s="1" t="s">
        <v>40</v>
      </c>
      <c r="D10" s="1" t="s">
        <v>23</v>
      </c>
      <c r="E10" s="1" t="s">
        <v>24</v>
      </c>
      <c r="F10" s="1">
        <v>3</v>
      </c>
      <c r="G10" s="1">
        <v>117.66</v>
      </c>
      <c r="H10" s="1">
        <v>352.98</v>
      </c>
      <c r="I10" s="1">
        <v>292.98</v>
      </c>
      <c r="J10" s="1">
        <v>60</v>
      </c>
      <c r="K10" s="1" t="s">
        <v>32</v>
      </c>
      <c r="L10" s="1" t="s">
        <v>19</v>
      </c>
      <c r="M10" s="1" t="s">
        <v>27</v>
      </c>
      <c r="N10" s="1" t="s">
        <v>35</v>
      </c>
    </row>
    <row r="11" spans="1:14">
      <c r="A11" s="2">
        <v>45402</v>
      </c>
      <c r="B11" s="1" t="s">
        <v>41</v>
      </c>
      <c r="C11" s="1" t="s">
        <v>30</v>
      </c>
      <c r="D11" s="1" t="s">
        <v>42</v>
      </c>
      <c r="E11" s="1" t="s">
        <v>31</v>
      </c>
      <c r="F11" s="1">
        <v>5</v>
      </c>
      <c r="G11" s="1">
        <v>249.15</v>
      </c>
      <c r="H11" s="1">
        <v>1245.75</v>
      </c>
      <c r="I11" s="1">
        <v>1180.25</v>
      </c>
      <c r="J11" s="1">
        <v>65.5</v>
      </c>
      <c r="K11" s="1" t="s">
        <v>18</v>
      </c>
      <c r="L11" s="1" t="s">
        <v>33</v>
      </c>
      <c r="M11" s="1" t="s">
        <v>34</v>
      </c>
      <c r="N11" s="1" t="s">
        <v>21</v>
      </c>
    </row>
    <row r="12" spans="1:14">
      <c r="A12" s="2">
        <v>45614</v>
      </c>
      <c r="B12" s="1" t="s">
        <v>43</v>
      </c>
      <c r="C12" s="1" t="s">
        <v>44</v>
      </c>
      <c r="D12" s="1" t="s">
        <v>23</v>
      </c>
      <c r="E12" s="1" t="s">
        <v>24</v>
      </c>
      <c r="F12" s="1">
        <v>5</v>
      </c>
      <c r="G12" s="1">
        <v>337.68</v>
      </c>
      <c r="H12" s="1">
        <v>1688.4</v>
      </c>
      <c r="I12" s="1">
        <v>1639.4</v>
      </c>
      <c r="J12" s="1">
        <v>49</v>
      </c>
      <c r="K12" s="1" t="s">
        <v>25</v>
      </c>
      <c r="L12" s="1" t="s">
        <v>19</v>
      </c>
      <c r="M12" s="1" t="s">
        <v>37</v>
      </c>
      <c r="N12" s="1" t="s">
        <v>28</v>
      </c>
    </row>
    <row r="13" spans="1:14">
      <c r="A13" s="2">
        <v>45513</v>
      </c>
      <c r="B13" s="1" t="s">
        <v>45</v>
      </c>
      <c r="C13" s="1" t="s">
        <v>44</v>
      </c>
      <c r="D13" s="1" t="s">
        <v>42</v>
      </c>
      <c r="E13" s="1" t="s">
        <v>46</v>
      </c>
      <c r="F13" s="1">
        <v>5</v>
      </c>
      <c r="G13" s="1">
        <v>491.3</v>
      </c>
      <c r="H13" s="1">
        <v>2456.5</v>
      </c>
      <c r="I13" s="1">
        <v>2416.5</v>
      </c>
      <c r="J13" s="1">
        <v>40</v>
      </c>
      <c r="K13" s="1" t="s">
        <v>32</v>
      </c>
      <c r="L13" s="1" t="s">
        <v>26</v>
      </c>
      <c r="M13" s="1" t="s">
        <v>20</v>
      </c>
      <c r="N13" s="1" t="s">
        <v>35</v>
      </c>
    </row>
    <row r="14" spans="1:14">
      <c r="A14" s="2">
        <v>45597</v>
      </c>
      <c r="B14" s="1" t="s">
        <v>36</v>
      </c>
      <c r="C14" s="1" t="s">
        <v>15</v>
      </c>
      <c r="D14" s="1" t="s">
        <v>23</v>
      </c>
      <c r="E14" s="1" t="s">
        <v>31</v>
      </c>
      <c r="F14" s="1">
        <v>4</v>
      </c>
      <c r="G14" s="1">
        <v>394.42</v>
      </c>
      <c r="H14" s="1">
        <v>1577.68</v>
      </c>
      <c r="I14" s="1">
        <v>1517.68</v>
      </c>
      <c r="J14" s="1">
        <v>60</v>
      </c>
      <c r="K14" s="1" t="s">
        <v>18</v>
      </c>
      <c r="L14" s="1" t="s">
        <v>19</v>
      </c>
      <c r="M14" s="1" t="s">
        <v>27</v>
      </c>
      <c r="N14" s="1" t="s">
        <v>21</v>
      </c>
    </row>
    <row r="15" spans="1:14">
      <c r="A15" s="2">
        <v>45369</v>
      </c>
      <c r="B15" s="1" t="s">
        <v>47</v>
      </c>
      <c r="C15" s="1" t="s">
        <v>44</v>
      </c>
      <c r="D15" s="1" t="s">
        <v>16</v>
      </c>
      <c r="E15" s="1" t="s">
        <v>46</v>
      </c>
      <c r="F15" s="1">
        <v>2</v>
      </c>
      <c r="G15" s="1">
        <v>216.4</v>
      </c>
      <c r="H15" s="1">
        <v>432.8</v>
      </c>
      <c r="I15" s="1">
        <v>367.3</v>
      </c>
      <c r="J15" s="1">
        <v>65.5</v>
      </c>
      <c r="K15" s="1" t="s">
        <v>25</v>
      </c>
      <c r="L15" s="1" t="s">
        <v>26</v>
      </c>
      <c r="M15" s="1" t="s">
        <v>34</v>
      </c>
      <c r="N15" s="1" t="s">
        <v>28</v>
      </c>
    </row>
    <row r="16" spans="1:14">
      <c r="A16" s="2">
        <v>45318</v>
      </c>
      <c r="B16" s="1" t="s">
        <v>43</v>
      </c>
      <c r="C16" s="1" t="s">
        <v>44</v>
      </c>
      <c r="D16" s="1" t="s">
        <v>48</v>
      </c>
      <c r="E16" s="1" t="s">
        <v>31</v>
      </c>
      <c r="F16" s="1">
        <v>6</v>
      </c>
      <c r="G16" s="1">
        <v>457.22</v>
      </c>
      <c r="H16" s="1">
        <v>2743.32</v>
      </c>
      <c r="I16" s="1">
        <v>2694.32</v>
      </c>
      <c r="J16" s="1">
        <v>49</v>
      </c>
      <c r="K16" s="1" t="s">
        <v>32</v>
      </c>
      <c r="L16" s="1" t="s">
        <v>33</v>
      </c>
      <c r="M16" s="1" t="s">
        <v>37</v>
      </c>
      <c r="N16" s="1" t="s">
        <v>35</v>
      </c>
    </row>
    <row r="17" spans="1:14">
      <c r="A17" s="2">
        <v>45471</v>
      </c>
      <c r="B17" s="1" t="s">
        <v>14</v>
      </c>
      <c r="C17" s="1" t="s">
        <v>15</v>
      </c>
      <c r="D17" s="1" t="s">
        <v>42</v>
      </c>
      <c r="E17" s="1" t="s">
        <v>24</v>
      </c>
      <c r="F17" s="1">
        <v>8</v>
      </c>
      <c r="G17" s="1">
        <v>438.33</v>
      </c>
      <c r="H17" s="1">
        <v>3506.64</v>
      </c>
      <c r="I17" s="1">
        <v>3466.64</v>
      </c>
      <c r="J17" s="1">
        <v>40</v>
      </c>
      <c r="K17" s="1" t="s">
        <v>18</v>
      </c>
      <c r="L17" s="1" t="s">
        <v>19</v>
      </c>
      <c r="M17" s="1" t="s">
        <v>20</v>
      </c>
      <c r="N17" s="1" t="s">
        <v>21</v>
      </c>
    </row>
    <row r="18" spans="1:14">
      <c r="A18" s="2">
        <v>45587</v>
      </c>
      <c r="B18" s="1" t="s">
        <v>36</v>
      </c>
      <c r="C18" s="1" t="s">
        <v>15</v>
      </c>
      <c r="D18" s="1" t="s">
        <v>49</v>
      </c>
      <c r="E18" s="1" t="s">
        <v>31</v>
      </c>
      <c r="F18" s="1">
        <v>2</v>
      </c>
      <c r="G18" s="1">
        <v>56.98</v>
      </c>
      <c r="H18" s="1">
        <v>113.96</v>
      </c>
      <c r="I18" s="1">
        <v>53.959999999999994</v>
      </c>
      <c r="J18" s="1">
        <v>60</v>
      </c>
      <c r="K18" s="1" t="s">
        <v>25</v>
      </c>
      <c r="L18" s="1" t="s">
        <v>19</v>
      </c>
      <c r="M18" s="1" t="s">
        <v>27</v>
      </c>
      <c r="N18" s="1" t="s">
        <v>28</v>
      </c>
    </row>
    <row r="19" spans="1:14">
      <c r="A19" s="2">
        <v>45423</v>
      </c>
      <c r="B19" s="1" t="s">
        <v>47</v>
      </c>
      <c r="C19" s="1" t="s">
        <v>44</v>
      </c>
      <c r="D19" s="1" t="s">
        <v>49</v>
      </c>
      <c r="E19" s="1" t="s">
        <v>46</v>
      </c>
      <c r="F19" s="1">
        <v>1</v>
      </c>
      <c r="G19" s="1">
        <v>313.14</v>
      </c>
      <c r="H19" s="1">
        <v>313.14</v>
      </c>
      <c r="I19" s="1">
        <v>247.64</v>
      </c>
      <c r="J19" s="1">
        <v>65.5</v>
      </c>
      <c r="K19" s="1" t="s">
        <v>32</v>
      </c>
      <c r="L19" s="1" t="s">
        <v>33</v>
      </c>
      <c r="M19" s="1" t="s">
        <v>34</v>
      </c>
      <c r="N19" s="1" t="s">
        <v>35</v>
      </c>
    </row>
    <row r="20" spans="1:14">
      <c r="A20" s="2">
        <v>45322</v>
      </c>
      <c r="B20" s="1" t="s">
        <v>38</v>
      </c>
      <c r="C20" s="1" t="s">
        <v>15</v>
      </c>
      <c r="D20" s="1" t="s">
        <v>16</v>
      </c>
      <c r="E20" s="1" t="s">
        <v>24</v>
      </c>
      <c r="F20" s="1">
        <v>4</v>
      </c>
      <c r="G20" s="1">
        <v>53.03</v>
      </c>
      <c r="H20" s="1">
        <v>212.12</v>
      </c>
      <c r="I20" s="1">
        <v>163.12</v>
      </c>
      <c r="J20" s="1">
        <v>49</v>
      </c>
      <c r="K20" s="1" t="s">
        <v>18</v>
      </c>
      <c r="L20" s="1" t="s">
        <v>26</v>
      </c>
      <c r="M20" s="1" t="s">
        <v>37</v>
      </c>
      <c r="N20" s="1" t="s">
        <v>21</v>
      </c>
    </row>
    <row r="21" spans="1:14">
      <c r="A21" s="2">
        <v>45540</v>
      </c>
      <c r="B21" s="1" t="s">
        <v>50</v>
      </c>
      <c r="C21" s="1" t="s">
        <v>40</v>
      </c>
      <c r="D21" s="1" t="s">
        <v>42</v>
      </c>
      <c r="E21" s="1" t="s">
        <v>46</v>
      </c>
      <c r="F21" s="1">
        <v>10</v>
      </c>
      <c r="G21" s="1">
        <v>152.37</v>
      </c>
      <c r="H21" s="1">
        <v>1523.7</v>
      </c>
      <c r="I21" s="1">
        <v>1483.7</v>
      </c>
      <c r="J21" s="1">
        <v>40</v>
      </c>
      <c r="K21" s="1" t="s">
        <v>25</v>
      </c>
      <c r="L21" s="1" t="s">
        <v>19</v>
      </c>
      <c r="M21" s="1" t="s">
        <v>20</v>
      </c>
      <c r="N21" s="1" t="s">
        <v>28</v>
      </c>
    </row>
    <row r="22" spans="1:14">
      <c r="A22" s="2">
        <v>45461</v>
      </c>
      <c r="B22" s="1" t="s">
        <v>36</v>
      </c>
      <c r="C22" s="1" t="s">
        <v>15</v>
      </c>
      <c r="D22" s="1" t="s">
        <v>48</v>
      </c>
      <c r="E22" s="1" t="s">
        <v>46</v>
      </c>
      <c r="F22" s="1">
        <v>6</v>
      </c>
      <c r="G22" s="1">
        <v>132.59</v>
      </c>
      <c r="H22" s="1">
        <v>795.54</v>
      </c>
      <c r="I22" s="1">
        <v>735.54</v>
      </c>
      <c r="J22" s="1">
        <v>60</v>
      </c>
      <c r="K22" s="1" t="s">
        <v>32</v>
      </c>
      <c r="L22" s="1" t="s">
        <v>19</v>
      </c>
      <c r="M22" s="1" t="s">
        <v>27</v>
      </c>
      <c r="N22" s="1" t="s">
        <v>35</v>
      </c>
    </row>
    <row r="23" spans="1:14">
      <c r="A23" s="2">
        <v>45533</v>
      </c>
      <c r="B23" s="1" t="s">
        <v>41</v>
      </c>
      <c r="C23" s="1" t="s">
        <v>30</v>
      </c>
      <c r="D23" s="1" t="s">
        <v>49</v>
      </c>
      <c r="E23" s="1" t="s">
        <v>17</v>
      </c>
      <c r="F23" s="1">
        <v>5</v>
      </c>
      <c r="G23" s="1">
        <v>265.92</v>
      </c>
      <c r="H23" s="1">
        <v>1329.6</v>
      </c>
      <c r="I23" s="1">
        <v>1264.0999999999999</v>
      </c>
      <c r="J23" s="1">
        <v>65.5</v>
      </c>
      <c r="K23" s="1" t="s">
        <v>18</v>
      </c>
      <c r="L23" s="1" t="s">
        <v>26</v>
      </c>
      <c r="M23" s="1" t="s">
        <v>34</v>
      </c>
      <c r="N23" s="1" t="s">
        <v>21</v>
      </c>
    </row>
    <row r="24" spans="1:14">
      <c r="A24" s="2">
        <v>45461</v>
      </c>
      <c r="B24" s="1" t="s">
        <v>36</v>
      </c>
      <c r="C24" s="1" t="s">
        <v>15</v>
      </c>
      <c r="D24" s="1" t="s">
        <v>49</v>
      </c>
      <c r="E24" s="1" t="s">
        <v>46</v>
      </c>
      <c r="F24" s="1">
        <v>1</v>
      </c>
      <c r="G24" s="1">
        <v>492.81</v>
      </c>
      <c r="H24" s="1">
        <v>492.81</v>
      </c>
      <c r="I24" s="1">
        <v>443.81</v>
      </c>
      <c r="J24" s="1">
        <v>49</v>
      </c>
      <c r="K24" s="1" t="s">
        <v>25</v>
      </c>
      <c r="L24" s="1" t="s">
        <v>33</v>
      </c>
      <c r="M24" s="1" t="s">
        <v>37</v>
      </c>
      <c r="N24" s="1" t="s">
        <v>28</v>
      </c>
    </row>
    <row r="25" spans="1:14">
      <c r="A25" s="2">
        <v>45357</v>
      </c>
      <c r="B25" s="1" t="s">
        <v>38</v>
      </c>
      <c r="C25" s="1" t="s">
        <v>15</v>
      </c>
      <c r="D25" s="1" t="s">
        <v>49</v>
      </c>
      <c r="E25" s="1" t="s">
        <v>46</v>
      </c>
      <c r="F25" s="1">
        <v>1</v>
      </c>
      <c r="G25" s="1">
        <v>434.04</v>
      </c>
      <c r="H25" s="1">
        <v>434.04</v>
      </c>
      <c r="I25" s="1">
        <v>394.04</v>
      </c>
      <c r="J25" s="1">
        <v>40</v>
      </c>
      <c r="K25" s="1" t="s">
        <v>32</v>
      </c>
      <c r="L25" s="1" t="s">
        <v>19</v>
      </c>
      <c r="M25" s="1" t="s">
        <v>20</v>
      </c>
      <c r="N25" s="1" t="s">
        <v>35</v>
      </c>
    </row>
    <row r="26" spans="1:14">
      <c r="A26" s="2">
        <v>45436</v>
      </c>
      <c r="B26" s="1" t="s">
        <v>29</v>
      </c>
      <c r="C26" s="1" t="s">
        <v>30</v>
      </c>
      <c r="D26" s="1" t="s">
        <v>42</v>
      </c>
      <c r="E26" s="1" t="s">
        <v>17</v>
      </c>
      <c r="F26" s="1">
        <v>10</v>
      </c>
      <c r="G26" s="1">
        <v>462.7</v>
      </c>
      <c r="H26" s="1">
        <v>4627</v>
      </c>
      <c r="I26" s="1">
        <v>4567</v>
      </c>
      <c r="J26" s="1">
        <v>60</v>
      </c>
      <c r="K26" s="1" t="s">
        <v>18</v>
      </c>
      <c r="L26" s="1" t="s">
        <v>33</v>
      </c>
      <c r="M26" s="1" t="s">
        <v>27</v>
      </c>
      <c r="N26" s="1" t="s">
        <v>21</v>
      </c>
    </row>
    <row r="27" spans="1:14">
      <c r="A27" s="2">
        <v>45423</v>
      </c>
      <c r="B27" s="1" t="s">
        <v>36</v>
      </c>
      <c r="C27" s="1" t="s">
        <v>15</v>
      </c>
      <c r="D27" s="1" t="s">
        <v>48</v>
      </c>
      <c r="E27" s="1" t="s">
        <v>24</v>
      </c>
      <c r="F27" s="1">
        <v>2</v>
      </c>
      <c r="G27" s="1">
        <v>336.04</v>
      </c>
      <c r="H27" s="1">
        <v>672.08</v>
      </c>
      <c r="I27" s="1">
        <v>606.58000000000004</v>
      </c>
      <c r="J27" s="1">
        <v>65.5</v>
      </c>
      <c r="K27" s="1" t="s">
        <v>25</v>
      </c>
      <c r="L27" s="1" t="s">
        <v>19</v>
      </c>
      <c r="M27" s="1" t="s">
        <v>34</v>
      </c>
      <c r="N27" s="1" t="s">
        <v>28</v>
      </c>
    </row>
    <row r="28" spans="1:14">
      <c r="A28" s="2">
        <v>45578</v>
      </c>
      <c r="B28" s="1" t="s">
        <v>51</v>
      </c>
      <c r="C28" s="1" t="s">
        <v>52</v>
      </c>
      <c r="D28" s="1" t="s">
        <v>49</v>
      </c>
      <c r="E28" s="1" t="s">
        <v>24</v>
      </c>
      <c r="F28" s="1">
        <v>7</v>
      </c>
      <c r="G28" s="1">
        <v>349.53</v>
      </c>
      <c r="H28" s="1">
        <v>2446.71</v>
      </c>
      <c r="I28" s="1">
        <v>2397.71</v>
      </c>
      <c r="J28" s="1">
        <v>49</v>
      </c>
      <c r="K28" s="1" t="s">
        <v>32</v>
      </c>
      <c r="L28" s="1" t="s">
        <v>26</v>
      </c>
      <c r="M28" s="1" t="s">
        <v>37</v>
      </c>
      <c r="N28" s="1" t="s">
        <v>35</v>
      </c>
    </row>
    <row r="29" spans="1:14">
      <c r="A29" s="2">
        <v>45365</v>
      </c>
      <c r="B29" s="1" t="s">
        <v>38</v>
      </c>
      <c r="C29" s="1" t="s">
        <v>15</v>
      </c>
      <c r="D29" s="1" t="s">
        <v>23</v>
      </c>
      <c r="E29" s="1" t="s">
        <v>46</v>
      </c>
      <c r="F29" s="1">
        <v>5</v>
      </c>
      <c r="G29" s="1">
        <v>178.39</v>
      </c>
      <c r="H29" s="1">
        <v>891.95</v>
      </c>
      <c r="I29" s="1">
        <v>851.95</v>
      </c>
      <c r="J29" s="1">
        <v>40</v>
      </c>
      <c r="K29" s="1" t="s">
        <v>18</v>
      </c>
      <c r="L29" s="1" t="s">
        <v>26</v>
      </c>
      <c r="M29" s="1" t="s">
        <v>20</v>
      </c>
      <c r="N29" s="1" t="s">
        <v>21</v>
      </c>
    </row>
    <row r="30" spans="1:14">
      <c r="A30" s="2">
        <v>45559</v>
      </c>
      <c r="B30" s="1" t="s">
        <v>53</v>
      </c>
      <c r="C30" s="1" t="s">
        <v>40</v>
      </c>
      <c r="D30" s="1" t="s">
        <v>16</v>
      </c>
      <c r="E30" s="1" t="s">
        <v>31</v>
      </c>
      <c r="F30" s="1">
        <v>9</v>
      </c>
      <c r="G30" s="1">
        <v>479.97</v>
      </c>
      <c r="H30" s="1">
        <v>4319.7299999999996</v>
      </c>
      <c r="I30" s="1">
        <v>4259.7299999999996</v>
      </c>
      <c r="J30" s="1">
        <v>60</v>
      </c>
      <c r="K30" s="1" t="s">
        <v>25</v>
      </c>
      <c r="L30" s="1" t="s">
        <v>33</v>
      </c>
      <c r="M30" s="1" t="s">
        <v>27</v>
      </c>
      <c r="N30" s="1" t="s">
        <v>28</v>
      </c>
    </row>
    <row r="31" spans="1:14">
      <c r="A31" s="2">
        <v>45303</v>
      </c>
      <c r="B31" s="1" t="s">
        <v>53</v>
      </c>
      <c r="C31" s="1" t="s">
        <v>40</v>
      </c>
      <c r="D31" s="1" t="s">
        <v>42</v>
      </c>
      <c r="E31" s="1" t="s">
        <v>17</v>
      </c>
      <c r="F31" s="1">
        <v>1</v>
      </c>
      <c r="G31" s="1">
        <v>226.32</v>
      </c>
      <c r="H31" s="1">
        <v>226.32</v>
      </c>
      <c r="I31" s="1">
        <v>160.82</v>
      </c>
      <c r="J31" s="1">
        <v>65.5</v>
      </c>
      <c r="K31" s="1" t="s">
        <v>32</v>
      </c>
      <c r="L31" s="1" t="s">
        <v>19</v>
      </c>
      <c r="M31" s="1" t="s">
        <v>34</v>
      </c>
      <c r="N31" s="1" t="s">
        <v>35</v>
      </c>
    </row>
    <row r="32" spans="1:14">
      <c r="A32" s="2">
        <v>45545</v>
      </c>
      <c r="B32" s="1" t="s">
        <v>53</v>
      </c>
      <c r="C32" s="1" t="s">
        <v>40</v>
      </c>
      <c r="D32" s="1" t="s">
        <v>23</v>
      </c>
      <c r="E32" s="1" t="s">
        <v>31</v>
      </c>
      <c r="F32" s="1">
        <v>6</v>
      </c>
      <c r="G32" s="1">
        <v>430.69</v>
      </c>
      <c r="H32" s="1">
        <v>2584.14</v>
      </c>
      <c r="I32" s="1">
        <v>2535.14</v>
      </c>
      <c r="J32" s="1">
        <v>49</v>
      </c>
      <c r="K32" s="1" t="s">
        <v>18</v>
      </c>
      <c r="L32" s="1" t="s">
        <v>19</v>
      </c>
      <c r="M32" s="1" t="s">
        <v>37</v>
      </c>
      <c r="N32" s="1" t="s">
        <v>21</v>
      </c>
    </row>
    <row r="33" spans="1:14">
      <c r="A33" s="2">
        <v>45490</v>
      </c>
      <c r="B33" s="1" t="s">
        <v>41</v>
      </c>
      <c r="C33" s="1" t="s">
        <v>30</v>
      </c>
      <c r="D33" s="1" t="s">
        <v>23</v>
      </c>
      <c r="E33" s="1" t="s">
        <v>46</v>
      </c>
      <c r="F33" s="1">
        <v>3</v>
      </c>
      <c r="G33" s="1">
        <v>393.27</v>
      </c>
      <c r="H33" s="1">
        <v>1179.81</v>
      </c>
      <c r="I33" s="1">
        <v>1139.81</v>
      </c>
      <c r="J33" s="1">
        <v>40</v>
      </c>
      <c r="K33" s="1" t="s">
        <v>25</v>
      </c>
      <c r="L33" s="1" t="s">
        <v>26</v>
      </c>
      <c r="M33" s="1" t="s">
        <v>20</v>
      </c>
      <c r="N33" s="1" t="s">
        <v>28</v>
      </c>
    </row>
    <row r="34" spans="1:14">
      <c r="A34" s="2">
        <v>45371</v>
      </c>
      <c r="B34" s="1" t="s">
        <v>22</v>
      </c>
      <c r="C34" s="1" t="s">
        <v>15</v>
      </c>
      <c r="D34" s="1" t="s">
        <v>16</v>
      </c>
      <c r="E34" s="1" t="s">
        <v>24</v>
      </c>
      <c r="F34" s="1">
        <v>9</v>
      </c>
      <c r="G34" s="1">
        <v>475.63</v>
      </c>
      <c r="H34" s="1">
        <v>4280.67</v>
      </c>
      <c r="I34" s="1">
        <v>4220.67</v>
      </c>
      <c r="J34" s="1">
        <v>60</v>
      </c>
      <c r="K34" s="1" t="s">
        <v>32</v>
      </c>
      <c r="L34" s="1" t="s">
        <v>33</v>
      </c>
      <c r="M34" s="1" t="s">
        <v>27</v>
      </c>
      <c r="N34" s="1" t="s">
        <v>35</v>
      </c>
    </row>
    <row r="35" spans="1:14">
      <c r="A35" s="2">
        <v>45565</v>
      </c>
      <c r="B35" s="1" t="s">
        <v>22</v>
      </c>
      <c r="C35" s="1" t="s">
        <v>15</v>
      </c>
      <c r="D35" s="1" t="s">
        <v>16</v>
      </c>
      <c r="E35" s="1" t="s">
        <v>17</v>
      </c>
      <c r="F35" s="1">
        <v>1</v>
      </c>
      <c r="G35" s="1">
        <v>286.63</v>
      </c>
      <c r="H35" s="1">
        <v>286.63</v>
      </c>
      <c r="I35" s="1">
        <v>221.13</v>
      </c>
      <c r="J35" s="1">
        <v>65.5</v>
      </c>
      <c r="K35" s="1" t="s">
        <v>18</v>
      </c>
      <c r="L35" s="1" t="s">
        <v>19</v>
      </c>
      <c r="M35" s="1" t="s">
        <v>34</v>
      </c>
      <c r="N35" s="1" t="s">
        <v>21</v>
      </c>
    </row>
    <row r="36" spans="1:14">
      <c r="A36" s="2">
        <v>45545</v>
      </c>
      <c r="B36" s="1" t="s">
        <v>29</v>
      </c>
      <c r="C36" s="1" t="s">
        <v>30</v>
      </c>
      <c r="D36" s="1" t="s">
        <v>23</v>
      </c>
      <c r="E36" s="1" t="s">
        <v>31</v>
      </c>
      <c r="F36" s="1">
        <v>6</v>
      </c>
      <c r="G36" s="1">
        <v>66.28</v>
      </c>
      <c r="H36" s="1">
        <v>397.68</v>
      </c>
      <c r="I36" s="1">
        <v>348.68</v>
      </c>
      <c r="J36" s="1">
        <v>49</v>
      </c>
      <c r="K36" s="1" t="s">
        <v>25</v>
      </c>
      <c r="L36" s="1" t="s">
        <v>26</v>
      </c>
      <c r="M36" s="1" t="s">
        <v>37</v>
      </c>
      <c r="N36" s="1" t="s">
        <v>28</v>
      </c>
    </row>
    <row r="37" spans="1:14">
      <c r="A37" s="2">
        <v>45373</v>
      </c>
      <c r="B37" s="1" t="s">
        <v>54</v>
      </c>
      <c r="C37" s="1" t="s">
        <v>40</v>
      </c>
      <c r="D37" s="1" t="s">
        <v>49</v>
      </c>
      <c r="E37" s="1" t="s">
        <v>17</v>
      </c>
      <c r="F37" s="1">
        <v>1</v>
      </c>
      <c r="G37" s="1">
        <v>188.02</v>
      </c>
      <c r="H37" s="1">
        <v>188.02</v>
      </c>
      <c r="I37" s="1">
        <v>148.02000000000001</v>
      </c>
      <c r="J37" s="1">
        <v>40</v>
      </c>
      <c r="K37" s="1" t="s">
        <v>32</v>
      </c>
      <c r="L37" s="1" t="s">
        <v>19</v>
      </c>
      <c r="M37" s="1" t="s">
        <v>20</v>
      </c>
      <c r="N37" s="1" t="s">
        <v>35</v>
      </c>
    </row>
    <row r="38" spans="1:14">
      <c r="A38" s="2">
        <v>45328</v>
      </c>
      <c r="B38" s="1" t="s">
        <v>29</v>
      </c>
      <c r="C38" s="1" t="s">
        <v>30</v>
      </c>
      <c r="D38" s="1" t="s">
        <v>16</v>
      </c>
      <c r="E38" s="1" t="s">
        <v>31</v>
      </c>
      <c r="F38" s="1">
        <v>2</v>
      </c>
      <c r="G38" s="1">
        <v>163.61000000000001</v>
      </c>
      <c r="H38" s="1">
        <v>327.22000000000003</v>
      </c>
      <c r="I38" s="1">
        <v>267.22000000000003</v>
      </c>
      <c r="J38" s="1">
        <v>60</v>
      </c>
      <c r="K38" s="1" t="s">
        <v>18</v>
      </c>
      <c r="L38" s="1" t="s">
        <v>33</v>
      </c>
      <c r="M38" s="1" t="s">
        <v>27</v>
      </c>
      <c r="N38" s="1" t="s">
        <v>21</v>
      </c>
    </row>
    <row r="39" spans="1:14">
      <c r="A39" s="2">
        <v>45387</v>
      </c>
      <c r="B39" s="1" t="s">
        <v>50</v>
      </c>
      <c r="C39" s="1" t="s">
        <v>40</v>
      </c>
      <c r="D39" s="1" t="s">
        <v>23</v>
      </c>
      <c r="E39" s="1" t="s">
        <v>24</v>
      </c>
      <c r="F39" s="1">
        <v>5</v>
      </c>
      <c r="G39" s="1">
        <v>235.55</v>
      </c>
      <c r="H39" s="1">
        <v>1177.75</v>
      </c>
      <c r="I39" s="1">
        <v>1112.25</v>
      </c>
      <c r="J39" s="1">
        <v>65.5</v>
      </c>
      <c r="K39" s="1" t="s">
        <v>25</v>
      </c>
      <c r="L39" s="1" t="s">
        <v>26</v>
      </c>
      <c r="M39" s="1" t="s">
        <v>34</v>
      </c>
      <c r="N39" s="1" t="s">
        <v>28</v>
      </c>
    </row>
    <row r="40" spans="1:14">
      <c r="A40" s="2">
        <v>45408</v>
      </c>
      <c r="B40" s="1" t="s">
        <v>39</v>
      </c>
      <c r="C40" s="1" t="s">
        <v>40</v>
      </c>
      <c r="D40" s="1" t="s">
        <v>48</v>
      </c>
      <c r="E40" s="1" t="s">
        <v>24</v>
      </c>
      <c r="F40" s="1">
        <v>9</v>
      </c>
      <c r="G40" s="1">
        <v>342.15</v>
      </c>
      <c r="H40" s="1">
        <v>3079.35</v>
      </c>
      <c r="I40" s="1">
        <v>3030.35</v>
      </c>
      <c r="J40" s="1">
        <v>49</v>
      </c>
      <c r="K40" s="1" t="s">
        <v>32</v>
      </c>
      <c r="L40" s="1" t="s">
        <v>19</v>
      </c>
      <c r="M40" s="1" t="s">
        <v>37</v>
      </c>
      <c r="N40" s="1" t="s">
        <v>35</v>
      </c>
    </row>
    <row r="41" spans="1:14">
      <c r="A41" s="2">
        <v>45569</v>
      </c>
      <c r="B41" s="1" t="s">
        <v>55</v>
      </c>
      <c r="C41" s="1" t="s">
        <v>44</v>
      </c>
      <c r="D41" s="1" t="s">
        <v>23</v>
      </c>
      <c r="E41" s="1" t="s">
        <v>46</v>
      </c>
      <c r="F41" s="1">
        <v>4</v>
      </c>
      <c r="G41" s="1">
        <v>117.1</v>
      </c>
      <c r="H41" s="1">
        <v>468.4</v>
      </c>
      <c r="I41" s="1">
        <v>428.4</v>
      </c>
      <c r="J41" s="1">
        <v>40</v>
      </c>
      <c r="K41" s="1" t="s">
        <v>18</v>
      </c>
      <c r="L41" s="1" t="s">
        <v>33</v>
      </c>
      <c r="M41" s="1" t="s">
        <v>20</v>
      </c>
      <c r="N41" s="1" t="s">
        <v>21</v>
      </c>
    </row>
    <row r="42" spans="1:14">
      <c r="A42" s="2">
        <v>45396</v>
      </c>
      <c r="B42" s="1" t="s">
        <v>56</v>
      </c>
      <c r="C42" s="1" t="s">
        <v>52</v>
      </c>
      <c r="D42" s="1" t="s">
        <v>23</v>
      </c>
      <c r="E42" s="1" t="s">
        <v>31</v>
      </c>
      <c r="F42" s="1">
        <v>2</v>
      </c>
      <c r="G42" s="1">
        <v>416.69</v>
      </c>
      <c r="H42" s="1">
        <v>833.38</v>
      </c>
      <c r="I42" s="1">
        <v>773.38</v>
      </c>
      <c r="J42" s="1">
        <v>60</v>
      </c>
      <c r="K42" s="1" t="s">
        <v>25</v>
      </c>
      <c r="L42" s="1" t="s">
        <v>19</v>
      </c>
      <c r="M42" s="1" t="s">
        <v>27</v>
      </c>
      <c r="N42" s="1" t="s">
        <v>28</v>
      </c>
    </row>
    <row r="43" spans="1:14">
      <c r="A43" s="2">
        <v>45425</v>
      </c>
      <c r="B43" s="1" t="s">
        <v>14</v>
      </c>
      <c r="C43" s="1" t="s">
        <v>15</v>
      </c>
      <c r="D43" s="1" t="s">
        <v>49</v>
      </c>
      <c r="E43" s="1" t="s">
        <v>17</v>
      </c>
      <c r="F43" s="1">
        <v>8</v>
      </c>
      <c r="G43" s="1">
        <v>341.07</v>
      </c>
      <c r="H43" s="1">
        <v>2728.56</v>
      </c>
      <c r="I43" s="1">
        <v>2663.06</v>
      </c>
      <c r="J43" s="1">
        <v>65.5</v>
      </c>
      <c r="K43" s="1" t="s">
        <v>32</v>
      </c>
      <c r="L43" s="1" t="s">
        <v>26</v>
      </c>
      <c r="M43" s="1" t="s">
        <v>34</v>
      </c>
      <c r="N43" s="1" t="s">
        <v>35</v>
      </c>
    </row>
    <row r="44" spans="1:14">
      <c r="A44" s="2">
        <v>45460</v>
      </c>
      <c r="B44" s="1" t="s">
        <v>57</v>
      </c>
      <c r="C44" s="1" t="s">
        <v>30</v>
      </c>
      <c r="D44" s="1" t="s">
        <v>16</v>
      </c>
      <c r="E44" s="1" t="s">
        <v>31</v>
      </c>
      <c r="F44" s="1">
        <v>7</v>
      </c>
      <c r="G44" s="1">
        <v>76.53</v>
      </c>
      <c r="H44" s="1">
        <v>535.71</v>
      </c>
      <c r="I44" s="1">
        <v>486.71000000000004</v>
      </c>
      <c r="J44" s="1">
        <v>49</v>
      </c>
      <c r="K44" s="1" t="s">
        <v>18</v>
      </c>
      <c r="L44" s="1" t="s">
        <v>33</v>
      </c>
      <c r="M44" s="1" t="s">
        <v>37</v>
      </c>
      <c r="N44" s="1" t="s">
        <v>21</v>
      </c>
    </row>
    <row r="45" spans="1:14">
      <c r="A45" s="2">
        <v>45508</v>
      </c>
      <c r="B45" s="1" t="s">
        <v>36</v>
      </c>
      <c r="C45" s="1" t="s">
        <v>15</v>
      </c>
      <c r="D45" s="1" t="s">
        <v>49</v>
      </c>
      <c r="E45" s="1" t="s">
        <v>46</v>
      </c>
      <c r="F45" s="1">
        <v>5</v>
      </c>
      <c r="G45" s="1">
        <v>302.08</v>
      </c>
      <c r="H45" s="1">
        <v>1510.4</v>
      </c>
      <c r="I45" s="1">
        <v>1470.4</v>
      </c>
      <c r="J45" s="1">
        <v>40</v>
      </c>
      <c r="K45" s="1" t="s">
        <v>25</v>
      </c>
      <c r="L45" s="1" t="s">
        <v>19</v>
      </c>
      <c r="M45" s="1" t="s">
        <v>20</v>
      </c>
      <c r="N45" s="1" t="s">
        <v>28</v>
      </c>
    </row>
    <row r="46" spans="1:14">
      <c r="A46" s="2">
        <v>45406</v>
      </c>
      <c r="B46" s="1" t="s">
        <v>56</v>
      </c>
      <c r="C46" s="1" t="s">
        <v>52</v>
      </c>
      <c r="D46" s="1" t="s">
        <v>42</v>
      </c>
      <c r="E46" s="1" t="s">
        <v>24</v>
      </c>
      <c r="F46" s="1">
        <v>6</v>
      </c>
      <c r="G46" s="1">
        <v>343.96</v>
      </c>
      <c r="H46" s="1">
        <v>2063.7600000000002</v>
      </c>
      <c r="I46" s="1">
        <v>2003.7600000000002</v>
      </c>
      <c r="J46" s="1">
        <v>60</v>
      </c>
      <c r="K46" s="1" t="s">
        <v>32</v>
      </c>
      <c r="L46" s="1" t="s">
        <v>26</v>
      </c>
      <c r="M46" s="1" t="s">
        <v>27</v>
      </c>
      <c r="N46" s="1" t="s">
        <v>35</v>
      </c>
    </row>
    <row r="47" spans="1:14">
      <c r="A47" s="2">
        <v>45442</v>
      </c>
      <c r="B47" s="1" t="s">
        <v>36</v>
      </c>
      <c r="C47" s="1" t="s">
        <v>15</v>
      </c>
      <c r="D47" s="1" t="s">
        <v>42</v>
      </c>
      <c r="E47" s="1" t="s">
        <v>31</v>
      </c>
      <c r="F47" s="1">
        <v>3</v>
      </c>
      <c r="G47" s="1">
        <v>334.52</v>
      </c>
      <c r="H47" s="1">
        <v>1003.56</v>
      </c>
      <c r="I47" s="1">
        <v>938.06</v>
      </c>
      <c r="J47" s="1">
        <v>65.5</v>
      </c>
      <c r="K47" s="1" t="s">
        <v>18</v>
      </c>
      <c r="L47" s="1" t="s">
        <v>33</v>
      </c>
      <c r="M47" s="1" t="s">
        <v>34</v>
      </c>
      <c r="N47" s="1" t="s">
        <v>21</v>
      </c>
    </row>
    <row r="48" spans="1:14">
      <c r="A48" s="2">
        <v>45527</v>
      </c>
      <c r="B48" s="1" t="s">
        <v>36</v>
      </c>
      <c r="C48" s="1" t="s">
        <v>15</v>
      </c>
      <c r="D48" s="1" t="s">
        <v>49</v>
      </c>
      <c r="E48" s="1" t="s">
        <v>17</v>
      </c>
      <c r="F48" s="1">
        <v>6</v>
      </c>
      <c r="G48" s="1">
        <v>108.38</v>
      </c>
      <c r="H48" s="1">
        <v>650.28</v>
      </c>
      <c r="I48" s="1">
        <v>601.28</v>
      </c>
      <c r="J48" s="1">
        <v>49</v>
      </c>
      <c r="K48" s="1" t="s">
        <v>25</v>
      </c>
      <c r="L48" s="1" t="s">
        <v>19</v>
      </c>
      <c r="M48" s="1" t="s">
        <v>37</v>
      </c>
      <c r="N48" s="1" t="s">
        <v>28</v>
      </c>
    </row>
    <row r="49" spans="1:14">
      <c r="A49" s="2">
        <v>45511</v>
      </c>
      <c r="B49" s="1" t="s">
        <v>43</v>
      </c>
      <c r="C49" s="1" t="s">
        <v>44</v>
      </c>
      <c r="D49" s="1" t="s">
        <v>16</v>
      </c>
      <c r="E49" s="1" t="s">
        <v>17</v>
      </c>
      <c r="F49" s="1">
        <v>6</v>
      </c>
      <c r="G49" s="1">
        <v>135.08000000000001</v>
      </c>
      <c r="H49" s="1">
        <v>810.48</v>
      </c>
      <c r="I49" s="1">
        <v>770.48</v>
      </c>
      <c r="J49" s="1">
        <v>40</v>
      </c>
      <c r="K49" s="1" t="s">
        <v>32</v>
      </c>
      <c r="L49" s="1" t="s">
        <v>19</v>
      </c>
      <c r="M49" s="1" t="s">
        <v>20</v>
      </c>
      <c r="N49" s="1" t="s">
        <v>35</v>
      </c>
    </row>
    <row r="50" spans="1:14">
      <c r="A50" s="2">
        <v>45382</v>
      </c>
      <c r="B50" s="1" t="s">
        <v>38</v>
      </c>
      <c r="C50" s="1" t="s">
        <v>15</v>
      </c>
      <c r="D50" s="1" t="s">
        <v>49</v>
      </c>
      <c r="E50" s="1" t="s">
        <v>46</v>
      </c>
      <c r="F50" s="1">
        <v>8</v>
      </c>
      <c r="G50" s="1">
        <v>217.97</v>
      </c>
      <c r="H50" s="1">
        <v>1743.76</v>
      </c>
      <c r="I50" s="1">
        <v>1683.76</v>
      </c>
      <c r="J50" s="1">
        <v>60</v>
      </c>
      <c r="K50" s="1" t="s">
        <v>18</v>
      </c>
      <c r="L50" s="1" t="s">
        <v>33</v>
      </c>
      <c r="M50" s="1" t="s">
        <v>27</v>
      </c>
      <c r="N50" s="1" t="s">
        <v>21</v>
      </c>
    </row>
    <row r="51" spans="1:14">
      <c r="A51" s="2">
        <v>45318</v>
      </c>
      <c r="B51" s="1" t="s">
        <v>38</v>
      </c>
      <c r="C51" s="1" t="s">
        <v>15</v>
      </c>
      <c r="D51" s="1" t="s">
        <v>42</v>
      </c>
      <c r="E51" s="1" t="s">
        <v>31</v>
      </c>
      <c r="F51" s="1">
        <v>10</v>
      </c>
      <c r="G51" s="1">
        <v>315.7</v>
      </c>
      <c r="H51" s="1">
        <v>3157</v>
      </c>
      <c r="I51" s="1">
        <v>3091.5</v>
      </c>
      <c r="J51" s="1">
        <v>65.5</v>
      </c>
      <c r="K51" s="1" t="s">
        <v>25</v>
      </c>
      <c r="L51" s="1" t="s">
        <v>19</v>
      </c>
      <c r="M51" s="1" t="s">
        <v>34</v>
      </c>
      <c r="N51" s="1" t="s">
        <v>28</v>
      </c>
    </row>
    <row r="52" spans="1:14">
      <c r="A52" s="2">
        <v>45444</v>
      </c>
      <c r="B52" s="1" t="s">
        <v>53</v>
      </c>
      <c r="C52" s="1" t="s">
        <v>40</v>
      </c>
      <c r="D52" s="1" t="s">
        <v>42</v>
      </c>
      <c r="E52" s="1" t="s">
        <v>31</v>
      </c>
      <c r="F52" s="1">
        <v>4</v>
      </c>
      <c r="G52" s="1">
        <v>275.02999999999997</v>
      </c>
      <c r="H52" s="1">
        <v>1100.1199999999999</v>
      </c>
      <c r="I52" s="1">
        <v>1051.1199999999999</v>
      </c>
      <c r="J52" s="1">
        <v>49</v>
      </c>
      <c r="K52" s="1" t="s">
        <v>32</v>
      </c>
      <c r="L52" s="1" t="s">
        <v>26</v>
      </c>
      <c r="M52" s="1" t="s">
        <v>37</v>
      </c>
      <c r="N52" s="1" t="s">
        <v>35</v>
      </c>
    </row>
    <row r="53" spans="1:14">
      <c r="A53" s="2">
        <v>45389</v>
      </c>
      <c r="B53" s="1" t="s">
        <v>54</v>
      </c>
      <c r="C53" s="1" t="s">
        <v>40</v>
      </c>
      <c r="D53" s="1" t="s">
        <v>23</v>
      </c>
      <c r="E53" s="1" t="s">
        <v>46</v>
      </c>
      <c r="F53" s="1">
        <v>2</v>
      </c>
      <c r="G53" s="1">
        <v>333.53</v>
      </c>
      <c r="H53" s="1">
        <v>667.06</v>
      </c>
      <c r="I53" s="1">
        <v>627.05999999999995</v>
      </c>
      <c r="J53" s="1">
        <v>40</v>
      </c>
      <c r="K53" s="1" t="s">
        <v>18</v>
      </c>
      <c r="L53" s="1" t="s">
        <v>19</v>
      </c>
      <c r="M53" s="1" t="s">
        <v>20</v>
      </c>
      <c r="N53" s="1" t="s">
        <v>21</v>
      </c>
    </row>
    <row r="54" spans="1:14">
      <c r="A54" s="2">
        <v>45393</v>
      </c>
      <c r="B54" s="1" t="s">
        <v>45</v>
      </c>
      <c r="C54" s="1" t="s">
        <v>44</v>
      </c>
      <c r="D54" s="1" t="s">
        <v>23</v>
      </c>
      <c r="E54" s="1" t="s">
        <v>31</v>
      </c>
      <c r="F54" s="1">
        <v>10</v>
      </c>
      <c r="G54" s="1">
        <v>493.05</v>
      </c>
      <c r="H54" s="1">
        <v>4930.5</v>
      </c>
      <c r="I54" s="1">
        <v>4870.5</v>
      </c>
      <c r="J54" s="1">
        <v>60</v>
      </c>
      <c r="K54" s="1" t="s">
        <v>25</v>
      </c>
      <c r="L54" s="1" t="s">
        <v>33</v>
      </c>
      <c r="M54" s="1" t="s">
        <v>27</v>
      </c>
      <c r="N54" s="1" t="s">
        <v>28</v>
      </c>
    </row>
    <row r="55" spans="1:14">
      <c r="A55" s="2">
        <v>45314</v>
      </c>
      <c r="B55" s="1" t="s">
        <v>50</v>
      </c>
      <c r="C55" s="1" t="s">
        <v>40</v>
      </c>
      <c r="D55" s="1" t="s">
        <v>16</v>
      </c>
      <c r="E55" s="1" t="s">
        <v>24</v>
      </c>
      <c r="F55" s="1">
        <v>2</v>
      </c>
      <c r="G55" s="1">
        <v>154.16</v>
      </c>
      <c r="H55" s="1">
        <v>308.32</v>
      </c>
      <c r="I55" s="1">
        <v>242.82</v>
      </c>
      <c r="J55" s="1">
        <v>65.5</v>
      </c>
      <c r="K55" s="1" t="s">
        <v>32</v>
      </c>
      <c r="L55" s="1" t="s">
        <v>26</v>
      </c>
      <c r="M55" s="1" t="s">
        <v>34</v>
      </c>
      <c r="N55" s="1" t="s">
        <v>35</v>
      </c>
    </row>
    <row r="56" spans="1:14">
      <c r="A56" s="2">
        <v>45306</v>
      </c>
      <c r="B56" s="1" t="s">
        <v>58</v>
      </c>
      <c r="C56" s="1" t="s">
        <v>52</v>
      </c>
      <c r="D56" s="1" t="s">
        <v>48</v>
      </c>
      <c r="E56" s="1" t="s">
        <v>31</v>
      </c>
      <c r="F56" s="1">
        <v>10</v>
      </c>
      <c r="G56" s="1">
        <v>294.19</v>
      </c>
      <c r="H56" s="1">
        <v>2941.9</v>
      </c>
      <c r="I56" s="1">
        <v>2892.9</v>
      </c>
      <c r="J56" s="1">
        <v>49</v>
      </c>
      <c r="K56" s="1" t="s">
        <v>18</v>
      </c>
      <c r="L56" s="1" t="s">
        <v>19</v>
      </c>
      <c r="M56" s="1" t="s">
        <v>37</v>
      </c>
      <c r="N56" s="1" t="s">
        <v>21</v>
      </c>
    </row>
    <row r="57" spans="1:14">
      <c r="A57" s="2">
        <v>45330</v>
      </c>
      <c r="B57" s="1" t="s">
        <v>29</v>
      </c>
      <c r="C57" s="1" t="s">
        <v>30</v>
      </c>
      <c r="D57" s="1" t="s">
        <v>16</v>
      </c>
      <c r="E57" s="1" t="s">
        <v>17</v>
      </c>
      <c r="F57" s="1">
        <v>8</v>
      </c>
      <c r="G57" s="1">
        <v>307.88</v>
      </c>
      <c r="H57" s="1">
        <v>2463.04</v>
      </c>
      <c r="I57" s="1">
        <v>2423.04</v>
      </c>
      <c r="J57" s="1">
        <v>40</v>
      </c>
      <c r="K57" s="1" t="s">
        <v>25</v>
      </c>
      <c r="L57" s="1" t="s">
        <v>33</v>
      </c>
      <c r="M57" s="1" t="s">
        <v>20</v>
      </c>
      <c r="N57" s="1" t="s">
        <v>28</v>
      </c>
    </row>
    <row r="58" spans="1:14">
      <c r="A58" s="2">
        <v>45373</v>
      </c>
      <c r="B58" s="1" t="s">
        <v>55</v>
      </c>
      <c r="C58" s="1" t="s">
        <v>44</v>
      </c>
      <c r="D58" s="1" t="s">
        <v>48</v>
      </c>
      <c r="E58" s="1" t="s">
        <v>17</v>
      </c>
      <c r="F58" s="1">
        <v>10</v>
      </c>
      <c r="G58" s="1">
        <v>223.77</v>
      </c>
      <c r="H58" s="1">
        <v>2237.6999999999998</v>
      </c>
      <c r="I58" s="1">
        <v>2177.6999999999998</v>
      </c>
      <c r="J58" s="1">
        <v>60</v>
      </c>
      <c r="K58" s="1" t="s">
        <v>32</v>
      </c>
      <c r="L58" s="1" t="s">
        <v>19</v>
      </c>
      <c r="M58" s="1" t="s">
        <v>27</v>
      </c>
      <c r="N58" s="1" t="s">
        <v>35</v>
      </c>
    </row>
    <row r="59" spans="1:14">
      <c r="A59" s="2">
        <v>45369</v>
      </c>
      <c r="B59" s="1" t="s">
        <v>59</v>
      </c>
      <c r="C59" s="1" t="s">
        <v>30</v>
      </c>
      <c r="D59" s="1" t="s">
        <v>23</v>
      </c>
      <c r="E59" s="1" t="s">
        <v>46</v>
      </c>
      <c r="F59" s="1">
        <v>5</v>
      </c>
      <c r="G59" s="1">
        <v>83.92</v>
      </c>
      <c r="H59" s="1">
        <v>419.6</v>
      </c>
      <c r="I59" s="1">
        <v>354.1</v>
      </c>
      <c r="J59" s="1">
        <v>65.5</v>
      </c>
      <c r="K59" s="1" t="s">
        <v>18</v>
      </c>
      <c r="L59" s="1" t="s">
        <v>26</v>
      </c>
      <c r="M59" s="1" t="s">
        <v>34</v>
      </c>
      <c r="N59" s="1" t="s">
        <v>21</v>
      </c>
    </row>
    <row r="60" spans="1:14">
      <c r="A60" s="2">
        <v>45501</v>
      </c>
      <c r="B60" s="1" t="s">
        <v>50</v>
      </c>
      <c r="C60" s="1" t="s">
        <v>40</v>
      </c>
      <c r="D60" s="1" t="s">
        <v>49</v>
      </c>
      <c r="E60" s="1" t="s">
        <v>17</v>
      </c>
      <c r="F60" s="1">
        <v>3</v>
      </c>
      <c r="G60" s="1">
        <v>191.55</v>
      </c>
      <c r="H60" s="1">
        <v>574.65</v>
      </c>
      <c r="I60" s="1">
        <v>525.65</v>
      </c>
      <c r="J60" s="1">
        <v>49</v>
      </c>
      <c r="K60" s="1" t="s">
        <v>25</v>
      </c>
      <c r="L60" s="1" t="s">
        <v>33</v>
      </c>
      <c r="M60" s="1" t="s">
        <v>37</v>
      </c>
      <c r="N60" s="1" t="s">
        <v>28</v>
      </c>
    </row>
    <row r="61" spans="1:14">
      <c r="A61" s="2">
        <v>45536</v>
      </c>
      <c r="B61" s="1" t="s">
        <v>14</v>
      </c>
      <c r="C61" s="1" t="s">
        <v>15</v>
      </c>
      <c r="D61" s="1" t="s">
        <v>48</v>
      </c>
      <c r="E61" s="1" t="s">
        <v>31</v>
      </c>
      <c r="F61" s="1">
        <v>5</v>
      </c>
      <c r="G61" s="1">
        <v>290.39</v>
      </c>
      <c r="H61" s="1">
        <v>1451.95</v>
      </c>
      <c r="I61" s="1">
        <v>1411.95</v>
      </c>
      <c r="J61" s="1">
        <v>40</v>
      </c>
      <c r="K61" s="1" t="s">
        <v>32</v>
      </c>
      <c r="L61" s="1" t="s">
        <v>19</v>
      </c>
      <c r="M61" s="1" t="s">
        <v>20</v>
      </c>
      <c r="N61" s="1" t="s">
        <v>35</v>
      </c>
    </row>
    <row r="62" spans="1:14">
      <c r="A62" s="2">
        <v>45510</v>
      </c>
      <c r="B62" s="1" t="s">
        <v>54</v>
      </c>
      <c r="C62" s="1" t="s">
        <v>40</v>
      </c>
      <c r="D62" s="1" t="s">
        <v>16</v>
      </c>
      <c r="E62" s="1" t="s">
        <v>17</v>
      </c>
      <c r="F62" s="1">
        <v>8</v>
      </c>
      <c r="G62" s="1">
        <v>89.62</v>
      </c>
      <c r="H62" s="1">
        <v>716.96</v>
      </c>
      <c r="I62" s="1">
        <v>656.96</v>
      </c>
      <c r="J62" s="1">
        <v>60</v>
      </c>
      <c r="K62" s="1" t="s">
        <v>18</v>
      </c>
      <c r="L62" s="1" t="s">
        <v>26</v>
      </c>
      <c r="M62" s="1" t="s">
        <v>27</v>
      </c>
      <c r="N62" s="1" t="s">
        <v>21</v>
      </c>
    </row>
    <row r="63" spans="1:14">
      <c r="A63" s="2">
        <v>45543</v>
      </c>
      <c r="B63" s="1" t="s">
        <v>59</v>
      </c>
      <c r="C63" s="1" t="s">
        <v>30</v>
      </c>
      <c r="D63" s="1" t="s">
        <v>49</v>
      </c>
      <c r="E63" s="1" t="s">
        <v>24</v>
      </c>
      <c r="F63" s="1">
        <v>7</v>
      </c>
      <c r="G63" s="1">
        <v>252.53</v>
      </c>
      <c r="H63" s="1">
        <v>1767.71</v>
      </c>
      <c r="I63" s="1">
        <v>1702.21</v>
      </c>
      <c r="J63" s="1">
        <v>65.5</v>
      </c>
      <c r="K63" s="1" t="s">
        <v>25</v>
      </c>
      <c r="L63" s="1" t="s">
        <v>19</v>
      </c>
      <c r="M63" s="1" t="s">
        <v>34</v>
      </c>
      <c r="N63" s="1" t="s">
        <v>28</v>
      </c>
    </row>
    <row r="64" spans="1:14">
      <c r="A64" s="2">
        <v>45332</v>
      </c>
      <c r="B64" s="1" t="s">
        <v>43</v>
      </c>
      <c r="C64" s="1" t="s">
        <v>44</v>
      </c>
      <c r="D64" s="1" t="s">
        <v>42</v>
      </c>
      <c r="E64" s="1" t="s">
        <v>24</v>
      </c>
      <c r="F64" s="1">
        <v>9</v>
      </c>
      <c r="G64" s="1">
        <v>127.33</v>
      </c>
      <c r="H64" s="1">
        <v>1145.97</v>
      </c>
      <c r="I64" s="1">
        <v>1096.97</v>
      </c>
      <c r="J64" s="1">
        <v>49</v>
      </c>
      <c r="K64" s="1" t="s">
        <v>32</v>
      </c>
      <c r="L64" s="1" t="s">
        <v>33</v>
      </c>
      <c r="M64" s="1" t="s">
        <v>37</v>
      </c>
      <c r="N64" s="1" t="s">
        <v>35</v>
      </c>
    </row>
    <row r="65" spans="1:14">
      <c r="A65" s="2">
        <v>45537</v>
      </c>
      <c r="B65" s="1" t="s">
        <v>53</v>
      </c>
      <c r="C65" s="1" t="s">
        <v>40</v>
      </c>
      <c r="D65" s="1" t="s">
        <v>49</v>
      </c>
      <c r="E65" s="1" t="s">
        <v>17</v>
      </c>
      <c r="F65" s="1">
        <v>4</v>
      </c>
      <c r="G65" s="1">
        <v>165.21</v>
      </c>
      <c r="H65" s="1">
        <v>660.84</v>
      </c>
      <c r="I65" s="1">
        <v>620.84</v>
      </c>
      <c r="J65" s="1">
        <v>40</v>
      </c>
      <c r="K65" s="1" t="s">
        <v>18</v>
      </c>
      <c r="L65" s="1" t="s">
        <v>19</v>
      </c>
      <c r="M65" s="1" t="s">
        <v>20</v>
      </c>
      <c r="N65" s="1" t="s">
        <v>21</v>
      </c>
    </row>
    <row r="66" spans="1:14">
      <c r="A66" s="2">
        <v>45325</v>
      </c>
      <c r="B66" s="1" t="s">
        <v>38</v>
      </c>
      <c r="C66" s="1" t="s">
        <v>15</v>
      </c>
      <c r="D66" s="1" t="s">
        <v>16</v>
      </c>
      <c r="E66" s="1" t="s">
        <v>17</v>
      </c>
      <c r="F66" s="1">
        <v>8</v>
      </c>
      <c r="G66" s="1">
        <v>292.8</v>
      </c>
      <c r="H66" s="1">
        <v>2342.4</v>
      </c>
      <c r="I66" s="1">
        <v>2282.4</v>
      </c>
      <c r="J66" s="1">
        <v>60</v>
      </c>
      <c r="K66" s="1" t="s">
        <v>25</v>
      </c>
      <c r="L66" s="1" t="s">
        <v>26</v>
      </c>
      <c r="M66" s="1" t="s">
        <v>27</v>
      </c>
      <c r="N66" s="1" t="s">
        <v>28</v>
      </c>
    </row>
    <row r="67" spans="1:14">
      <c r="A67" s="2">
        <v>45341</v>
      </c>
      <c r="B67" s="1" t="s">
        <v>29</v>
      </c>
      <c r="C67" s="1" t="s">
        <v>30</v>
      </c>
      <c r="D67" s="1" t="s">
        <v>42</v>
      </c>
      <c r="E67" s="1" t="s">
        <v>24</v>
      </c>
      <c r="F67" s="1">
        <v>1</v>
      </c>
      <c r="G67" s="1">
        <v>327.33</v>
      </c>
      <c r="H67" s="1">
        <v>327.33</v>
      </c>
      <c r="I67" s="1">
        <v>261.83</v>
      </c>
      <c r="J67" s="1">
        <v>65.5</v>
      </c>
      <c r="K67" s="1" t="s">
        <v>32</v>
      </c>
      <c r="L67" s="1" t="s">
        <v>19</v>
      </c>
      <c r="M67" s="1" t="s">
        <v>34</v>
      </c>
      <c r="N67" s="1" t="s">
        <v>35</v>
      </c>
    </row>
    <row r="68" spans="1:14">
      <c r="A68" s="2">
        <v>45437</v>
      </c>
      <c r="B68" s="1" t="s">
        <v>22</v>
      </c>
      <c r="C68" s="1" t="s">
        <v>15</v>
      </c>
      <c r="D68" s="1" t="s">
        <v>48</v>
      </c>
      <c r="E68" s="1" t="s">
        <v>46</v>
      </c>
      <c r="F68" s="1">
        <v>6</v>
      </c>
      <c r="G68" s="1">
        <v>201.52</v>
      </c>
      <c r="H68" s="1">
        <v>1209.1199999999999</v>
      </c>
      <c r="I68" s="1">
        <v>1160.1199999999999</v>
      </c>
      <c r="J68" s="1">
        <v>49</v>
      </c>
      <c r="K68" s="1" t="s">
        <v>18</v>
      </c>
      <c r="L68" s="1" t="s">
        <v>33</v>
      </c>
      <c r="M68" s="1" t="s">
        <v>37</v>
      </c>
      <c r="N68" s="1" t="s">
        <v>21</v>
      </c>
    </row>
    <row r="69" spans="1:14">
      <c r="A69" s="2">
        <v>45399</v>
      </c>
      <c r="B69" s="1" t="s">
        <v>14</v>
      </c>
      <c r="C69" s="1" t="s">
        <v>15</v>
      </c>
      <c r="D69" s="1" t="s">
        <v>48</v>
      </c>
      <c r="E69" s="1" t="s">
        <v>31</v>
      </c>
      <c r="F69" s="1">
        <v>3</v>
      </c>
      <c r="G69" s="1">
        <v>487.82</v>
      </c>
      <c r="H69" s="1">
        <v>1463.46</v>
      </c>
      <c r="I69" s="1">
        <v>1423.46</v>
      </c>
      <c r="J69" s="1">
        <v>40</v>
      </c>
      <c r="K69" s="1" t="s">
        <v>25</v>
      </c>
      <c r="L69" s="1" t="s">
        <v>19</v>
      </c>
      <c r="M69" s="1" t="s">
        <v>20</v>
      </c>
      <c r="N69" s="1" t="s">
        <v>28</v>
      </c>
    </row>
    <row r="70" spans="1:14">
      <c r="A70" s="2">
        <v>45563</v>
      </c>
      <c r="B70" s="1" t="s">
        <v>43</v>
      </c>
      <c r="C70" s="1" t="s">
        <v>44</v>
      </c>
      <c r="D70" s="1" t="s">
        <v>48</v>
      </c>
      <c r="E70" s="1" t="s">
        <v>46</v>
      </c>
      <c r="F70" s="1">
        <v>9</v>
      </c>
      <c r="G70" s="1">
        <v>334.1</v>
      </c>
      <c r="H70" s="1">
        <v>3006.9</v>
      </c>
      <c r="I70" s="1">
        <v>2946.9</v>
      </c>
      <c r="J70" s="1">
        <v>60</v>
      </c>
      <c r="K70" s="1" t="s">
        <v>32</v>
      </c>
      <c r="L70" s="1" t="s">
        <v>26</v>
      </c>
      <c r="M70" s="1" t="s">
        <v>27</v>
      </c>
      <c r="N70" s="1" t="s">
        <v>35</v>
      </c>
    </row>
    <row r="71" spans="1:14">
      <c r="A71" s="2">
        <v>45328</v>
      </c>
      <c r="B71" s="1" t="s">
        <v>36</v>
      </c>
      <c r="C71" s="1" t="s">
        <v>15</v>
      </c>
      <c r="D71" s="1" t="s">
        <v>49</v>
      </c>
      <c r="E71" s="1" t="s">
        <v>31</v>
      </c>
      <c r="F71" s="1">
        <v>10</v>
      </c>
      <c r="G71" s="1">
        <v>88.48</v>
      </c>
      <c r="H71" s="1">
        <v>884.8</v>
      </c>
      <c r="I71" s="1">
        <v>819.3</v>
      </c>
      <c r="J71" s="1">
        <v>65.5</v>
      </c>
      <c r="K71" s="1" t="s">
        <v>18</v>
      </c>
      <c r="L71" s="1" t="s">
        <v>19</v>
      </c>
      <c r="M71" s="1" t="s">
        <v>34</v>
      </c>
      <c r="N71" s="1" t="s">
        <v>21</v>
      </c>
    </row>
    <row r="72" spans="1:14">
      <c r="A72" s="2">
        <v>45371</v>
      </c>
      <c r="B72" s="1" t="s">
        <v>38</v>
      </c>
      <c r="C72" s="1" t="s">
        <v>15</v>
      </c>
      <c r="D72" s="1" t="s">
        <v>23</v>
      </c>
      <c r="E72" s="1" t="s">
        <v>46</v>
      </c>
      <c r="F72" s="1">
        <v>2</v>
      </c>
      <c r="G72" s="1">
        <v>115.48</v>
      </c>
      <c r="H72" s="1">
        <v>230.96</v>
      </c>
      <c r="I72" s="1">
        <v>181.96</v>
      </c>
      <c r="J72" s="1">
        <v>49</v>
      </c>
      <c r="K72" s="1" t="s">
        <v>25</v>
      </c>
      <c r="L72" s="1" t="s">
        <v>33</v>
      </c>
      <c r="M72" s="1" t="s">
        <v>37</v>
      </c>
      <c r="N72" s="1" t="s">
        <v>28</v>
      </c>
    </row>
    <row r="73" spans="1:14">
      <c r="A73" s="2">
        <v>45425</v>
      </c>
      <c r="B73" s="1" t="s">
        <v>38</v>
      </c>
      <c r="C73" s="1" t="s">
        <v>15</v>
      </c>
      <c r="D73" s="1" t="s">
        <v>49</v>
      </c>
      <c r="E73" s="1" t="s">
        <v>24</v>
      </c>
      <c r="F73" s="1">
        <v>1</v>
      </c>
      <c r="G73" s="1">
        <v>187.15</v>
      </c>
      <c r="H73" s="1">
        <v>187.15</v>
      </c>
      <c r="I73" s="1">
        <v>147.15</v>
      </c>
      <c r="J73" s="1">
        <v>40</v>
      </c>
      <c r="K73" s="1" t="s">
        <v>32</v>
      </c>
      <c r="L73" s="1" t="s">
        <v>26</v>
      </c>
      <c r="M73" s="1" t="s">
        <v>20</v>
      </c>
      <c r="N73" s="1" t="s">
        <v>35</v>
      </c>
    </row>
    <row r="74" spans="1:14">
      <c r="A74" s="2">
        <v>45430</v>
      </c>
      <c r="B74" s="1" t="s">
        <v>45</v>
      </c>
      <c r="C74" s="1" t="s">
        <v>44</v>
      </c>
      <c r="D74" s="1" t="s">
        <v>48</v>
      </c>
      <c r="E74" s="1" t="s">
        <v>31</v>
      </c>
      <c r="F74" s="1">
        <v>8</v>
      </c>
      <c r="G74" s="1">
        <v>300.43</v>
      </c>
      <c r="H74" s="1">
        <v>2403.44</v>
      </c>
      <c r="I74" s="1">
        <v>2343.44</v>
      </c>
      <c r="J74" s="1">
        <v>60</v>
      </c>
      <c r="K74" s="1" t="s">
        <v>18</v>
      </c>
      <c r="L74" s="1" t="s">
        <v>19</v>
      </c>
      <c r="M74" s="1" t="s">
        <v>27</v>
      </c>
      <c r="N74" s="1" t="s">
        <v>21</v>
      </c>
    </row>
    <row r="75" spans="1:14">
      <c r="A75" s="2">
        <v>45295</v>
      </c>
      <c r="B75" s="1" t="s">
        <v>53</v>
      </c>
      <c r="C75" s="1" t="s">
        <v>40</v>
      </c>
      <c r="D75" s="1" t="s">
        <v>42</v>
      </c>
      <c r="E75" s="1" t="s">
        <v>31</v>
      </c>
      <c r="F75" s="1">
        <v>3</v>
      </c>
      <c r="G75" s="1">
        <v>22.62</v>
      </c>
      <c r="H75" s="1">
        <v>67.86</v>
      </c>
      <c r="I75" s="1">
        <v>2.3599999999999994</v>
      </c>
      <c r="J75" s="1">
        <v>65.5</v>
      </c>
      <c r="K75" s="1" t="s">
        <v>25</v>
      </c>
      <c r="L75" s="1" t="s">
        <v>19</v>
      </c>
      <c r="M75" s="1" t="s">
        <v>34</v>
      </c>
      <c r="N75" s="1" t="s">
        <v>28</v>
      </c>
    </row>
    <row r="76" spans="1:14">
      <c r="A76" s="2">
        <v>45384</v>
      </c>
      <c r="B76" s="1" t="s">
        <v>47</v>
      </c>
      <c r="C76" s="1" t="s">
        <v>44</v>
      </c>
      <c r="D76" s="1" t="s">
        <v>49</v>
      </c>
      <c r="E76" s="1" t="s">
        <v>46</v>
      </c>
      <c r="F76" s="1">
        <v>3</v>
      </c>
      <c r="G76" s="1">
        <v>295.91000000000003</v>
      </c>
      <c r="H76" s="1">
        <v>887.73</v>
      </c>
      <c r="I76" s="1">
        <v>838.73</v>
      </c>
      <c r="J76" s="1">
        <v>49</v>
      </c>
      <c r="K76" s="1" t="s">
        <v>32</v>
      </c>
      <c r="L76" s="1" t="s">
        <v>33</v>
      </c>
      <c r="M76" s="1" t="s">
        <v>37</v>
      </c>
      <c r="N76" s="1" t="s">
        <v>35</v>
      </c>
    </row>
    <row r="77" spans="1:14">
      <c r="A77" s="2">
        <v>45569</v>
      </c>
      <c r="B77" s="1" t="s">
        <v>43</v>
      </c>
      <c r="C77" s="1" t="s">
        <v>44</v>
      </c>
      <c r="D77" s="1" t="s">
        <v>42</v>
      </c>
      <c r="E77" s="1" t="s">
        <v>17</v>
      </c>
      <c r="F77" s="1">
        <v>3</v>
      </c>
      <c r="G77" s="1">
        <v>183.7</v>
      </c>
      <c r="H77" s="1">
        <v>551.1</v>
      </c>
      <c r="I77" s="1">
        <v>511.1</v>
      </c>
      <c r="J77" s="1">
        <v>40</v>
      </c>
      <c r="K77" s="1" t="s">
        <v>18</v>
      </c>
      <c r="L77" s="1" t="s">
        <v>26</v>
      </c>
      <c r="M77" s="1" t="s">
        <v>20</v>
      </c>
      <c r="N77" s="1" t="s">
        <v>21</v>
      </c>
    </row>
    <row r="78" spans="1:14">
      <c r="A78" s="2">
        <v>45416</v>
      </c>
      <c r="B78" s="1" t="s">
        <v>47</v>
      </c>
      <c r="C78" s="1" t="s">
        <v>44</v>
      </c>
      <c r="D78" s="1" t="s">
        <v>48</v>
      </c>
      <c r="E78" s="1" t="s">
        <v>24</v>
      </c>
      <c r="F78" s="1">
        <v>3</v>
      </c>
      <c r="G78" s="1">
        <v>269.45999999999998</v>
      </c>
      <c r="H78" s="1">
        <v>808.38</v>
      </c>
      <c r="I78" s="1">
        <v>748.38</v>
      </c>
      <c r="J78" s="1">
        <v>60</v>
      </c>
      <c r="K78" s="1" t="s">
        <v>25</v>
      </c>
      <c r="L78" s="1" t="s">
        <v>19</v>
      </c>
      <c r="M78" s="1" t="s">
        <v>27</v>
      </c>
      <c r="N78" s="1" t="s">
        <v>28</v>
      </c>
    </row>
    <row r="79" spans="1:14">
      <c r="A79" s="2">
        <v>45486</v>
      </c>
      <c r="B79" s="1" t="s">
        <v>47</v>
      </c>
      <c r="C79" s="1" t="s">
        <v>44</v>
      </c>
      <c r="D79" s="1" t="s">
        <v>23</v>
      </c>
      <c r="E79" s="1" t="s">
        <v>17</v>
      </c>
      <c r="F79" s="1">
        <v>4</v>
      </c>
      <c r="G79" s="1">
        <v>211.28</v>
      </c>
      <c r="H79" s="1">
        <v>845.12</v>
      </c>
      <c r="I79" s="1">
        <v>779.62</v>
      </c>
      <c r="J79" s="1">
        <v>65.5</v>
      </c>
      <c r="K79" s="1" t="s">
        <v>32</v>
      </c>
      <c r="L79" s="1" t="s">
        <v>26</v>
      </c>
      <c r="M79" s="1" t="s">
        <v>34</v>
      </c>
      <c r="N79" s="1" t="s">
        <v>35</v>
      </c>
    </row>
    <row r="80" spans="1:14">
      <c r="A80" s="2">
        <v>45490</v>
      </c>
      <c r="B80" s="1" t="s">
        <v>22</v>
      </c>
      <c r="C80" s="1" t="s">
        <v>15</v>
      </c>
      <c r="D80" s="1" t="s">
        <v>42</v>
      </c>
      <c r="E80" s="1" t="s">
        <v>24</v>
      </c>
      <c r="F80" s="1">
        <v>5</v>
      </c>
      <c r="G80" s="1">
        <v>362.47</v>
      </c>
      <c r="H80" s="1">
        <v>1812.35</v>
      </c>
      <c r="I80" s="1">
        <v>1763.35</v>
      </c>
      <c r="J80" s="1">
        <v>49</v>
      </c>
      <c r="K80" s="1" t="s">
        <v>18</v>
      </c>
      <c r="L80" s="1" t="s">
        <v>19</v>
      </c>
      <c r="M80" s="1" t="s">
        <v>37</v>
      </c>
      <c r="N80" s="1" t="s">
        <v>21</v>
      </c>
    </row>
    <row r="81" spans="1:14">
      <c r="A81" s="2">
        <v>45318</v>
      </c>
      <c r="B81" s="1" t="s">
        <v>51</v>
      </c>
      <c r="C81" s="1" t="s">
        <v>52</v>
      </c>
      <c r="D81" s="1" t="s">
        <v>48</v>
      </c>
      <c r="E81" s="1" t="s">
        <v>46</v>
      </c>
      <c r="F81" s="1">
        <v>8</v>
      </c>
      <c r="G81" s="1">
        <v>259.56</v>
      </c>
      <c r="H81" s="1">
        <v>2076.48</v>
      </c>
      <c r="I81" s="1">
        <v>2036.48</v>
      </c>
      <c r="J81" s="1">
        <v>40</v>
      </c>
      <c r="K81" s="1" t="s">
        <v>25</v>
      </c>
      <c r="L81" s="1" t="s">
        <v>19</v>
      </c>
      <c r="M81" s="1" t="s">
        <v>20</v>
      </c>
      <c r="N81" s="1" t="s">
        <v>28</v>
      </c>
    </row>
    <row r="82" spans="1:14">
      <c r="A82" s="2">
        <v>45330</v>
      </c>
      <c r="B82" s="1" t="s">
        <v>22</v>
      </c>
      <c r="C82" s="1" t="s">
        <v>15</v>
      </c>
      <c r="D82" s="1" t="s">
        <v>42</v>
      </c>
      <c r="E82" s="1" t="s">
        <v>46</v>
      </c>
      <c r="F82" s="1">
        <v>1</v>
      </c>
      <c r="G82" s="1">
        <v>134.63</v>
      </c>
      <c r="H82" s="1">
        <v>134.63</v>
      </c>
      <c r="I82" s="1">
        <v>74.63</v>
      </c>
      <c r="J82" s="1">
        <v>60</v>
      </c>
      <c r="K82" s="1" t="s">
        <v>32</v>
      </c>
      <c r="L82" s="1" t="s">
        <v>33</v>
      </c>
      <c r="M82" s="1" t="s">
        <v>27</v>
      </c>
      <c r="N82" s="1" t="s">
        <v>35</v>
      </c>
    </row>
    <row r="83" spans="1:14">
      <c r="A83" s="2">
        <v>45351</v>
      </c>
      <c r="B83" s="1" t="s">
        <v>47</v>
      </c>
      <c r="C83" s="1" t="s">
        <v>44</v>
      </c>
      <c r="D83" s="1" t="s">
        <v>48</v>
      </c>
      <c r="E83" s="1" t="s">
        <v>24</v>
      </c>
      <c r="F83" s="1">
        <v>10</v>
      </c>
      <c r="G83" s="1">
        <v>272.01</v>
      </c>
      <c r="H83" s="1">
        <v>2720.1</v>
      </c>
      <c r="I83" s="1">
        <v>2654.6</v>
      </c>
      <c r="J83" s="1">
        <v>65.5</v>
      </c>
      <c r="K83" s="1" t="s">
        <v>18</v>
      </c>
      <c r="L83" s="1" t="s">
        <v>26</v>
      </c>
      <c r="M83" s="1" t="s">
        <v>34</v>
      </c>
      <c r="N83" s="1" t="s">
        <v>21</v>
      </c>
    </row>
    <row r="84" spans="1:14">
      <c r="A84" s="2">
        <v>45473</v>
      </c>
      <c r="B84" s="1" t="s">
        <v>39</v>
      </c>
      <c r="C84" s="1" t="s">
        <v>40</v>
      </c>
      <c r="D84" s="1" t="s">
        <v>48</v>
      </c>
      <c r="E84" s="1" t="s">
        <v>46</v>
      </c>
      <c r="F84" s="1">
        <v>4</v>
      </c>
      <c r="G84" s="1">
        <v>265.89</v>
      </c>
      <c r="H84" s="1">
        <v>1063.56</v>
      </c>
      <c r="I84" s="1">
        <v>1014.56</v>
      </c>
      <c r="J84" s="1">
        <v>49</v>
      </c>
      <c r="K84" s="1" t="s">
        <v>25</v>
      </c>
      <c r="L84" s="1" t="s">
        <v>19</v>
      </c>
      <c r="M84" s="1" t="s">
        <v>37</v>
      </c>
      <c r="N84" s="1" t="s">
        <v>28</v>
      </c>
    </row>
    <row r="85" spans="1:14">
      <c r="A85" s="2">
        <v>45558</v>
      </c>
      <c r="B85" s="1" t="s">
        <v>43</v>
      </c>
      <c r="C85" s="1" t="s">
        <v>44</v>
      </c>
      <c r="D85" s="1" t="s">
        <v>16</v>
      </c>
      <c r="E85" s="1" t="s">
        <v>24</v>
      </c>
      <c r="F85" s="1">
        <v>4</v>
      </c>
      <c r="G85" s="1">
        <v>327.41000000000003</v>
      </c>
      <c r="H85" s="1">
        <v>1309.6400000000001</v>
      </c>
      <c r="I85" s="1">
        <v>1269.6400000000001</v>
      </c>
      <c r="J85" s="1">
        <v>40</v>
      </c>
      <c r="K85" s="1" t="s">
        <v>32</v>
      </c>
      <c r="L85" s="1" t="s">
        <v>19</v>
      </c>
      <c r="M85" s="1" t="s">
        <v>20</v>
      </c>
      <c r="N85" s="1" t="s">
        <v>35</v>
      </c>
    </row>
    <row r="86" spans="1:14">
      <c r="A86" s="2">
        <v>45309</v>
      </c>
      <c r="B86" s="1" t="s">
        <v>41</v>
      </c>
      <c r="C86" s="1" t="s">
        <v>30</v>
      </c>
      <c r="D86" s="1" t="s">
        <v>16</v>
      </c>
      <c r="E86" s="1" t="s">
        <v>17</v>
      </c>
      <c r="F86" s="1">
        <v>2</v>
      </c>
      <c r="G86" s="1">
        <v>395.91</v>
      </c>
      <c r="H86" s="1">
        <v>791.82</v>
      </c>
      <c r="I86" s="1">
        <v>731.82</v>
      </c>
      <c r="J86" s="1">
        <v>60</v>
      </c>
      <c r="K86" s="1" t="s">
        <v>18</v>
      </c>
      <c r="L86" s="1" t="s">
        <v>33</v>
      </c>
      <c r="M86" s="1" t="s">
        <v>27</v>
      </c>
      <c r="N86" s="1" t="s">
        <v>21</v>
      </c>
    </row>
    <row r="87" spans="1:14">
      <c r="A87" s="2">
        <v>45421</v>
      </c>
      <c r="B87" s="1" t="s">
        <v>45</v>
      </c>
      <c r="C87" s="1" t="s">
        <v>44</v>
      </c>
      <c r="D87" s="1" t="s">
        <v>23</v>
      </c>
      <c r="E87" s="1" t="s">
        <v>24</v>
      </c>
      <c r="F87" s="1">
        <v>10</v>
      </c>
      <c r="G87" s="1">
        <v>66.56</v>
      </c>
      <c r="H87" s="1">
        <v>665.6</v>
      </c>
      <c r="I87" s="1">
        <v>600.1</v>
      </c>
      <c r="J87" s="1">
        <v>65.5</v>
      </c>
      <c r="K87" s="1" t="s">
        <v>25</v>
      </c>
      <c r="L87" s="1" t="s">
        <v>26</v>
      </c>
      <c r="M87" s="1" t="s">
        <v>34</v>
      </c>
      <c r="N87" s="1" t="s">
        <v>28</v>
      </c>
    </row>
    <row r="88" spans="1:14">
      <c r="A88" s="2">
        <v>45469</v>
      </c>
      <c r="B88" s="1" t="s">
        <v>39</v>
      </c>
      <c r="C88" s="1" t="s">
        <v>40</v>
      </c>
      <c r="D88" s="1" t="s">
        <v>48</v>
      </c>
      <c r="E88" s="1" t="s">
        <v>31</v>
      </c>
      <c r="F88" s="1">
        <v>5</v>
      </c>
      <c r="G88" s="1">
        <v>432.3</v>
      </c>
      <c r="H88" s="1">
        <v>2161.5</v>
      </c>
      <c r="I88" s="1">
        <v>2112.5</v>
      </c>
      <c r="J88" s="1">
        <v>49</v>
      </c>
      <c r="K88" s="1" t="s">
        <v>32</v>
      </c>
      <c r="L88" s="1" t="s">
        <v>19</v>
      </c>
      <c r="M88" s="1" t="s">
        <v>37</v>
      </c>
      <c r="N88" s="1" t="s">
        <v>35</v>
      </c>
    </row>
    <row r="89" spans="1:14">
      <c r="A89" s="2">
        <v>45549</v>
      </c>
      <c r="B89" s="1" t="s">
        <v>38</v>
      </c>
      <c r="C89" s="1" t="s">
        <v>15</v>
      </c>
      <c r="D89" s="1" t="s">
        <v>42</v>
      </c>
      <c r="E89" s="1" t="s">
        <v>31</v>
      </c>
      <c r="F89" s="1">
        <v>7</v>
      </c>
      <c r="G89" s="1">
        <v>272.05</v>
      </c>
      <c r="H89" s="1">
        <v>1904.35</v>
      </c>
      <c r="I89" s="1">
        <v>1864.35</v>
      </c>
      <c r="J89" s="1">
        <v>40</v>
      </c>
      <c r="K89" s="1" t="s">
        <v>18</v>
      </c>
      <c r="L89" s="1" t="s">
        <v>19</v>
      </c>
      <c r="M89" s="1" t="s">
        <v>20</v>
      </c>
      <c r="N89" s="1" t="s">
        <v>21</v>
      </c>
    </row>
    <row r="90" spans="1:14">
      <c r="A90" s="2">
        <v>45484</v>
      </c>
      <c r="B90" s="1" t="s">
        <v>41</v>
      </c>
      <c r="C90" s="1" t="s">
        <v>30</v>
      </c>
      <c r="D90" s="1" t="s">
        <v>48</v>
      </c>
      <c r="E90" s="1" t="s">
        <v>46</v>
      </c>
      <c r="F90" s="1">
        <v>7</v>
      </c>
      <c r="G90" s="1">
        <v>301.27999999999997</v>
      </c>
      <c r="H90" s="1">
        <v>2108.96</v>
      </c>
      <c r="I90" s="1">
        <v>2048.96</v>
      </c>
      <c r="J90" s="1">
        <v>60</v>
      </c>
      <c r="K90" s="1" t="s">
        <v>25</v>
      </c>
      <c r="L90" s="1" t="s">
        <v>33</v>
      </c>
      <c r="M90" s="1" t="s">
        <v>27</v>
      </c>
      <c r="N90" s="1" t="s">
        <v>28</v>
      </c>
    </row>
    <row r="91" spans="1:14">
      <c r="A91" s="2">
        <v>45450</v>
      </c>
      <c r="B91" s="1" t="s">
        <v>38</v>
      </c>
      <c r="C91" s="1" t="s">
        <v>15</v>
      </c>
      <c r="D91" s="1" t="s">
        <v>42</v>
      </c>
      <c r="E91" s="1" t="s">
        <v>17</v>
      </c>
      <c r="F91" s="1">
        <v>9</v>
      </c>
      <c r="G91" s="1">
        <v>23.52</v>
      </c>
      <c r="H91" s="1">
        <v>211.68</v>
      </c>
      <c r="I91" s="1">
        <v>146.18</v>
      </c>
      <c r="J91" s="1">
        <v>65.5</v>
      </c>
      <c r="K91" s="1" t="s">
        <v>32</v>
      </c>
      <c r="L91" s="1" t="s">
        <v>19</v>
      </c>
      <c r="M91" s="1" t="s">
        <v>34</v>
      </c>
      <c r="N91" s="1" t="s">
        <v>35</v>
      </c>
    </row>
    <row r="92" spans="1:14">
      <c r="A92" s="2">
        <v>45491</v>
      </c>
      <c r="B92" s="1" t="s">
        <v>58</v>
      </c>
      <c r="C92" s="1" t="s">
        <v>52</v>
      </c>
      <c r="D92" s="1" t="s">
        <v>23</v>
      </c>
      <c r="E92" s="1" t="s">
        <v>17</v>
      </c>
      <c r="F92" s="1">
        <v>6</v>
      </c>
      <c r="G92" s="1">
        <v>281.85000000000002</v>
      </c>
      <c r="H92" s="1">
        <v>1691.1</v>
      </c>
      <c r="I92" s="1">
        <v>1642.1</v>
      </c>
      <c r="J92" s="1">
        <v>49</v>
      </c>
      <c r="K92" s="1" t="s">
        <v>18</v>
      </c>
      <c r="L92" s="1" t="s">
        <v>26</v>
      </c>
      <c r="M92" s="1" t="s">
        <v>37</v>
      </c>
      <c r="N92" s="1" t="s">
        <v>21</v>
      </c>
    </row>
    <row r="93" spans="1:14">
      <c r="A93" s="2">
        <v>45489</v>
      </c>
      <c r="B93" s="1" t="s">
        <v>14</v>
      </c>
      <c r="C93" s="1" t="s">
        <v>15</v>
      </c>
      <c r="D93" s="1" t="s">
        <v>48</v>
      </c>
      <c r="E93" s="1" t="s">
        <v>31</v>
      </c>
      <c r="F93" s="1">
        <v>6</v>
      </c>
      <c r="G93" s="1">
        <v>157.88</v>
      </c>
      <c r="H93" s="1">
        <v>947.28</v>
      </c>
      <c r="I93" s="1">
        <v>907.28</v>
      </c>
      <c r="J93" s="1">
        <v>40</v>
      </c>
      <c r="K93" s="1" t="s">
        <v>25</v>
      </c>
      <c r="L93" s="1" t="s">
        <v>33</v>
      </c>
      <c r="M93" s="1" t="s">
        <v>20</v>
      </c>
      <c r="N93" s="1" t="s">
        <v>28</v>
      </c>
    </row>
    <row r="94" spans="1:14">
      <c r="A94" s="2">
        <v>45566</v>
      </c>
      <c r="B94" s="1" t="s">
        <v>58</v>
      </c>
      <c r="C94" s="1" t="s">
        <v>52</v>
      </c>
      <c r="D94" s="1" t="s">
        <v>23</v>
      </c>
      <c r="E94" s="1" t="s">
        <v>17</v>
      </c>
      <c r="F94" s="1">
        <v>7</v>
      </c>
      <c r="G94" s="1">
        <v>98.66</v>
      </c>
      <c r="H94" s="1">
        <v>690.62</v>
      </c>
      <c r="I94" s="1">
        <v>630.62</v>
      </c>
      <c r="J94" s="1">
        <v>60</v>
      </c>
      <c r="K94" s="1" t="s">
        <v>32</v>
      </c>
      <c r="L94" s="1" t="s">
        <v>19</v>
      </c>
      <c r="M94" s="1" t="s">
        <v>27</v>
      </c>
      <c r="N94" s="1" t="s">
        <v>35</v>
      </c>
    </row>
    <row r="95" spans="1:14">
      <c r="A95" s="2">
        <v>45359</v>
      </c>
      <c r="B95" s="1" t="s">
        <v>58</v>
      </c>
      <c r="C95" s="1" t="s">
        <v>52</v>
      </c>
      <c r="D95" s="1" t="s">
        <v>42</v>
      </c>
      <c r="E95" s="1" t="s">
        <v>31</v>
      </c>
      <c r="F95" s="1">
        <v>2</v>
      </c>
      <c r="G95" s="1">
        <v>37.119999999999997</v>
      </c>
      <c r="H95" s="1">
        <v>74.239999999999995</v>
      </c>
      <c r="I95" s="1">
        <v>8.7399999999999949</v>
      </c>
      <c r="J95" s="1">
        <v>65.5</v>
      </c>
      <c r="K95" s="1" t="s">
        <v>18</v>
      </c>
      <c r="L95" s="1" t="s">
        <v>26</v>
      </c>
      <c r="M95" s="1" t="s">
        <v>34</v>
      </c>
      <c r="N95" s="1" t="s">
        <v>21</v>
      </c>
    </row>
    <row r="96" spans="1:14">
      <c r="A96" s="2">
        <v>45561</v>
      </c>
      <c r="B96" s="1" t="s">
        <v>53</v>
      </c>
      <c r="C96" s="1" t="s">
        <v>40</v>
      </c>
      <c r="D96" s="1" t="s">
        <v>42</v>
      </c>
      <c r="E96" s="1" t="s">
        <v>17</v>
      </c>
      <c r="F96" s="1">
        <v>9</v>
      </c>
      <c r="G96" s="1">
        <v>191.38</v>
      </c>
      <c r="H96" s="1">
        <v>1722.42</v>
      </c>
      <c r="I96" s="1">
        <v>1673.42</v>
      </c>
      <c r="J96" s="1">
        <v>49</v>
      </c>
      <c r="K96" s="1" t="s">
        <v>25</v>
      </c>
      <c r="L96" s="1" t="s">
        <v>33</v>
      </c>
      <c r="M96" s="1" t="s">
        <v>37</v>
      </c>
      <c r="N96" s="1" t="s">
        <v>28</v>
      </c>
    </row>
    <row r="97" spans="1:14">
      <c r="A97" s="2">
        <v>45403</v>
      </c>
      <c r="B97" s="1" t="s">
        <v>50</v>
      </c>
      <c r="C97" s="1" t="s">
        <v>40</v>
      </c>
      <c r="D97" s="1" t="s">
        <v>48</v>
      </c>
      <c r="E97" s="1" t="s">
        <v>24</v>
      </c>
      <c r="F97" s="1">
        <v>2</v>
      </c>
      <c r="G97" s="1">
        <v>301.12</v>
      </c>
      <c r="H97" s="1">
        <v>602.24</v>
      </c>
      <c r="I97" s="1">
        <v>562.24</v>
      </c>
      <c r="J97" s="1">
        <v>40</v>
      </c>
      <c r="K97" s="1" t="s">
        <v>32</v>
      </c>
      <c r="L97" s="1" t="s">
        <v>19</v>
      </c>
      <c r="M97" s="1" t="s">
        <v>20</v>
      </c>
      <c r="N97" s="1" t="s">
        <v>35</v>
      </c>
    </row>
    <row r="98" spans="1:14">
      <c r="A98" s="2">
        <v>45537</v>
      </c>
      <c r="B98" s="1" t="s">
        <v>56</v>
      </c>
      <c r="C98" s="1" t="s">
        <v>52</v>
      </c>
      <c r="D98" s="1" t="s">
        <v>49</v>
      </c>
      <c r="E98" s="1" t="s">
        <v>46</v>
      </c>
      <c r="F98" s="1">
        <v>4</v>
      </c>
      <c r="G98" s="1">
        <v>415.24</v>
      </c>
      <c r="H98" s="1">
        <v>1660.96</v>
      </c>
      <c r="I98" s="1">
        <v>1600.96</v>
      </c>
      <c r="J98" s="1">
        <v>60</v>
      </c>
      <c r="K98" s="1" t="s">
        <v>18</v>
      </c>
      <c r="L98" s="1" t="s">
        <v>19</v>
      </c>
      <c r="M98" s="1" t="s">
        <v>27</v>
      </c>
      <c r="N98" s="1" t="s">
        <v>21</v>
      </c>
    </row>
    <row r="99" spans="1:14">
      <c r="A99" s="2">
        <v>45321</v>
      </c>
      <c r="B99" s="1" t="s">
        <v>50</v>
      </c>
      <c r="C99" s="1" t="s">
        <v>40</v>
      </c>
      <c r="D99" s="1" t="s">
        <v>42</v>
      </c>
      <c r="E99" s="1" t="s">
        <v>17</v>
      </c>
      <c r="F99" s="1">
        <v>3</v>
      </c>
      <c r="G99" s="1">
        <v>115.83</v>
      </c>
      <c r="H99" s="1">
        <v>347.49</v>
      </c>
      <c r="I99" s="1">
        <v>281.99</v>
      </c>
      <c r="J99" s="1">
        <v>65.5</v>
      </c>
      <c r="K99" s="1" t="s">
        <v>25</v>
      </c>
      <c r="L99" s="1" t="s">
        <v>26</v>
      </c>
      <c r="M99" s="1" t="s">
        <v>34</v>
      </c>
      <c r="N99" s="1" t="s">
        <v>28</v>
      </c>
    </row>
    <row r="100" spans="1:14">
      <c r="A100" s="2">
        <v>45311</v>
      </c>
      <c r="B100" s="1" t="s">
        <v>59</v>
      </c>
      <c r="C100" s="1" t="s">
        <v>30</v>
      </c>
      <c r="D100" s="1" t="s">
        <v>42</v>
      </c>
      <c r="E100" s="1" t="s">
        <v>46</v>
      </c>
      <c r="F100" s="1">
        <v>6</v>
      </c>
      <c r="G100" s="1">
        <v>229.86</v>
      </c>
      <c r="H100" s="1">
        <v>1379.16</v>
      </c>
      <c r="I100" s="1">
        <v>1330.16</v>
      </c>
      <c r="J100" s="1">
        <v>49</v>
      </c>
      <c r="K100" s="1" t="s">
        <v>32</v>
      </c>
      <c r="L100" s="1" t="s">
        <v>19</v>
      </c>
      <c r="M100" s="1" t="s">
        <v>37</v>
      </c>
      <c r="N100" s="1" t="s">
        <v>35</v>
      </c>
    </row>
    <row r="101" spans="1:14">
      <c r="A101" s="2">
        <v>45552</v>
      </c>
      <c r="B101" s="1" t="s">
        <v>45</v>
      </c>
      <c r="C101" s="1" t="s">
        <v>44</v>
      </c>
      <c r="D101" s="1" t="s">
        <v>48</v>
      </c>
      <c r="E101" s="1" t="s">
        <v>31</v>
      </c>
      <c r="F101" s="1">
        <v>10</v>
      </c>
      <c r="G101" s="1">
        <v>98.84</v>
      </c>
      <c r="H101" s="1">
        <v>988.4</v>
      </c>
      <c r="I101" s="1">
        <v>948.4</v>
      </c>
      <c r="J101" s="1">
        <v>40</v>
      </c>
      <c r="K101" s="1" t="s">
        <v>18</v>
      </c>
      <c r="L101" s="1" t="s">
        <v>33</v>
      </c>
      <c r="M101" s="1" t="s">
        <v>20</v>
      </c>
      <c r="N101" s="1" t="s">
        <v>21</v>
      </c>
    </row>
    <row r="102" spans="1:14">
      <c r="A102" s="2">
        <v>45538</v>
      </c>
      <c r="B102" s="1" t="s">
        <v>60</v>
      </c>
      <c r="C102" s="1" t="s">
        <v>52</v>
      </c>
      <c r="D102" s="1" t="s">
        <v>48</v>
      </c>
      <c r="E102" s="1" t="s">
        <v>24</v>
      </c>
      <c r="F102" s="1">
        <v>10</v>
      </c>
      <c r="G102" s="1">
        <v>200.83</v>
      </c>
      <c r="H102" s="1">
        <v>2008.3</v>
      </c>
      <c r="I102" s="1">
        <v>1948.3</v>
      </c>
      <c r="J102" s="1">
        <v>60</v>
      </c>
      <c r="K102" s="1" t="s">
        <v>25</v>
      </c>
      <c r="L102" s="1" t="s">
        <v>26</v>
      </c>
      <c r="M102" s="1" t="s">
        <v>27</v>
      </c>
      <c r="N102" s="1" t="s">
        <v>28</v>
      </c>
    </row>
    <row r="103" spans="1:14">
      <c r="A103" s="2">
        <v>45633</v>
      </c>
      <c r="B103" s="1" t="s">
        <v>38</v>
      </c>
      <c r="C103" s="1" t="s">
        <v>15</v>
      </c>
      <c r="D103" s="1" t="s">
        <v>23</v>
      </c>
      <c r="E103" s="1" t="s">
        <v>46</v>
      </c>
      <c r="F103" s="1">
        <v>1</v>
      </c>
      <c r="G103" s="1">
        <v>310.54000000000002</v>
      </c>
      <c r="H103" s="1">
        <v>310.54000000000002</v>
      </c>
      <c r="I103" s="1">
        <v>245.04000000000002</v>
      </c>
      <c r="J103" s="1">
        <v>65.5</v>
      </c>
      <c r="K103" s="1" t="s">
        <v>32</v>
      </c>
      <c r="L103" s="1" t="s">
        <v>19</v>
      </c>
      <c r="M103" s="1" t="s">
        <v>34</v>
      </c>
      <c r="N103" s="1" t="s">
        <v>35</v>
      </c>
    </row>
    <row r="104" spans="1:14">
      <c r="A104" s="2">
        <v>45444</v>
      </c>
      <c r="B104" s="1" t="s">
        <v>39</v>
      </c>
      <c r="C104" s="1" t="s">
        <v>40</v>
      </c>
      <c r="D104" s="1" t="s">
        <v>48</v>
      </c>
      <c r="E104" s="1" t="s">
        <v>24</v>
      </c>
      <c r="F104" s="1">
        <v>8</v>
      </c>
      <c r="G104" s="1">
        <v>228.57</v>
      </c>
      <c r="H104" s="1">
        <v>1828.56</v>
      </c>
      <c r="I104" s="1">
        <v>1779.56</v>
      </c>
      <c r="J104" s="1">
        <v>49</v>
      </c>
      <c r="K104" s="1" t="s">
        <v>18</v>
      </c>
      <c r="L104" s="1" t="s">
        <v>33</v>
      </c>
      <c r="M104" s="1" t="s">
        <v>37</v>
      </c>
      <c r="N104" s="1" t="s">
        <v>21</v>
      </c>
    </row>
    <row r="105" spans="1:14">
      <c r="A105" s="2">
        <v>45532</v>
      </c>
      <c r="B105" s="1" t="s">
        <v>43</v>
      </c>
      <c r="C105" s="1" t="s">
        <v>44</v>
      </c>
      <c r="D105" s="1" t="s">
        <v>49</v>
      </c>
      <c r="E105" s="1" t="s">
        <v>31</v>
      </c>
      <c r="F105" s="1">
        <v>2</v>
      </c>
      <c r="G105" s="1">
        <v>495.03</v>
      </c>
      <c r="H105" s="1">
        <v>990.06</v>
      </c>
      <c r="I105" s="1">
        <v>950.06</v>
      </c>
      <c r="J105" s="1">
        <v>40</v>
      </c>
      <c r="K105" s="1" t="s">
        <v>25</v>
      </c>
      <c r="L105" s="1" t="s">
        <v>19</v>
      </c>
      <c r="M105" s="1" t="s">
        <v>20</v>
      </c>
      <c r="N105" s="1" t="s">
        <v>28</v>
      </c>
    </row>
    <row r="106" spans="1:14">
      <c r="A106" s="2">
        <v>45409</v>
      </c>
      <c r="B106" s="1" t="s">
        <v>59</v>
      </c>
      <c r="C106" s="1" t="s">
        <v>30</v>
      </c>
      <c r="D106" s="1" t="s">
        <v>48</v>
      </c>
      <c r="E106" s="1" t="s">
        <v>46</v>
      </c>
      <c r="F106" s="1">
        <v>7</v>
      </c>
      <c r="G106" s="1">
        <v>75.27</v>
      </c>
      <c r="H106" s="1">
        <v>526.89</v>
      </c>
      <c r="I106" s="1">
        <v>466.89</v>
      </c>
      <c r="J106" s="1">
        <v>60</v>
      </c>
      <c r="K106" s="1" t="s">
        <v>32</v>
      </c>
      <c r="L106" s="1" t="s">
        <v>26</v>
      </c>
      <c r="M106" s="1" t="s">
        <v>27</v>
      </c>
      <c r="N106" s="1" t="s">
        <v>35</v>
      </c>
    </row>
    <row r="107" spans="1:14">
      <c r="A107" s="2">
        <v>45364</v>
      </c>
      <c r="B107" s="1" t="s">
        <v>29</v>
      </c>
      <c r="C107" s="1" t="s">
        <v>30</v>
      </c>
      <c r="D107" s="1" t="s">
        <v>23</v>
      </c>
      <c r="E107" s="1" t="s">
        <v>17</v>
      </c>
      <c r="F107" s="1">
        <v>6</v>
      </c>
      <c r="G107" s="1">
        <v>156.28</v>
      </c>
      <c r="H107" s="1">
        <v>937.68</v>
      </c>
      <c r="I107" s="1">
        <v>872.18</v>
      </c>
      <c r="J107" s="1">
        <v>65.5</v>
      </c>
      <c r="K107" s="1" t="s">
        <v>18</v>
      </c>
      <c r="L107" s="1" t="s">
        <v>19</v>
      </c>
      <c r="M107" s="1" t="s">
        <v>34</v>
      </c>
      <c r="N107" s="1" t="s">
        <v>21</v>
      </c>
    </row>
    <row r="108" spans="1:14">
      <c r="A108" s="2">
        <v>45536</v>
      </c>
      <c r="B108" s="1" t="s">
        <v>39</v>
      </c>
      <c r="C108" s="1" t="s">
        <v>40</v>
      </c>
      <c r="D108" s="1" t="s">
        <v>42</v>
      </c>
      <c r="E108" s="1" t="s">
        <v>46</v>
      </c>
      <c r="F108" s="1">
        <v>5</v>
      </c>
      <c r="G108" s="1">
        <v>273.58</v>
      </c>
      <c r="H108" s="1">
        <v>1367.9</v>
      </c>
      <c r="I108" s="1">
        <v>1318.9</v>
      </c>
      <c r="J108" s="1">
        <v>49</v>
      </c>
      <c r="K108" s="1" t="s">
        <v>25</v>
      </c>
      <c r="L108" s="1" t="s">
        <v>33</v>
      </c>
      <c r="M108" s="1" t="s">
        <v>37</v>
      </c>
      <c r="N108" s="1" t="s">
        <v>28</v>
      </c>
    </row>
    <row r="109" spans="1:14">
      <c r="A109" s="2">
        <v>45395</v>
      </c>
      <c r="B109" s="1" t="s">
        <v>14</v>
      </c>
      <c r="C109" s="1" t="s">
        <v>15</v>
      </c>
      <c r="D109" s="1" t="s">
        <v>48</v>
      </c>
      <c r="E109" s="1" t="s">
        <v>24</v>
      </c>
      <c r="F109" s="1">
        <v>9</v>
      </c>
      <c r="G109" s="1">
        <v>393.82</v>
      </c>
      <c r="H109" s="1">
        <v>3544.38</v>
      </c>
      <c r="I109" s="1">
        <v>3504.38</v>
      </c>
      <c r="J109" s="1">
        <v>40</v>
      </c>
      <c r="K109" s="1" t="s">
        <v>32</v>
      </c>
      <c r="L109" s="1" t="s">
        <v>19</v>
      </c>
      <c r="M109" s="1" t="s">
        <v>20</v>
      </c>
      <c r="N109" s="1" t="s">
        <v>35</v>
      </c>
    </row>
    <row r="110" spans="1:14">
      <c r="A110" s="2">
        <v>45489</v>
      </c>
      <c r="B110" s="1" t="s">
        <v>47</v>
      </c>
      <c r="C110" s="1" t="s">
        <v>44</v>
      </c>
      <c r="D110" s="1" t="s">
        <v>49</v>
      </c>
      <c r="E110" s="1" t="s">
        <v>31</v>
      </c>
      <c r="F110" s="1">
        <v>5</v>
      </c>
      <c r="G110" s="1">
        <v>439.15</v>
      </c>
      <c r="H110" s="1">
        <v>2195.75</v>
      </c>
      <c r="I110" s="1">
        <v>2135.75</v>
      </c>
      <c r="J110" s="1">
        <v>60</v>
      </c>
      <c r="K110" s="1" t="s">
        <v>18</v>
      </c>
      <c r="L110" s="1" t="s">
        <v>26</v>
      </c>
      <c r="M110" s="1" t="s">
        <v>27</v>
      </c>
      <c r="N110" s="1" t="s">
        <v>21</v>
      </c>
    </row>
    <row r="111" spans="1:14">
      <c r="A111" s="2">
        <v>45314</v>
      </c>
      <c r="B111" s="1" t="s">
        <v>47</v>
      </c>
      <c r="C111" s="1" t="s">
        <v>44</v>
      </c>
      <c r="D111" s="1" t="s">
        <v>49</v>
      </c>
      <c r="E111" s="1" t="s">
        <v>31</v>
      </c>
      <c r="F111" s="1">
        <v>5</v>
      </c>
      <c r="G111" s="1">
        <v>417.04</v>
      </c>
      <c r="H111" s="1">
        <v>2085.1999999999998</v>
      </c>
      <c r="I111" s="1">
        <v>2019.6999999999998</v>
      </c>
      <c r="J111" s="1">
        <v>65.5</v>
      </c>
      <c r="K111" s="1" t="s">
        <v>25</v>
      </c>
      <c r="L111" s="1" t="s">
        <v>19</v>
      </c>
      <c r="M111" s="1" t="s">
        <v>34</v>
      </c>
      <c r="N111" s="1" t="s">
        <v>28</v>
      </c>
    </row>
    <row r="112" spans="1:14">
      <c r="A112" s="2">
        <v>45318</v>
      </c>
      <c r="B112" s="1" t="s">
        <v>47</v>
      </c>
      <c r="C112" s="1" t="s">
        <v>44</v>
      </c>
      <c r="D112" s="1" t="s">
        <v>42</v>
      </c>
      <c r="E112" s="1" t="s">
        <v>24</v>
      </c>
      <c r="F112" s="1">
        <v>7</v>
      </c>
      <c r="G112" s="1">
        <v>178.61</v>
      </c>
      <c r="H112" s="1">
        <v>1250.27</v>
      </c>
      <c r="I112" s="1">
        <v>1201.27</v>
      </c>
      <c r="J112" s="1">
        <v>49</v>
      </c>
      <c r="K112" s="1" t="s">
        <v>32</v>
      </c>
      <c r="L112" s="1" t="s">
        <v>33</v>
      </c>
      <c r="M112" s="1" t="s">
        <v>37</v>
      </c>
      <c r="N112" s="1" t="s">
        <v>35</v>
      </c>
    </row>
    <row r="113" spans="1:14">
      <c r="A113" s="2">
        <v>45466</v>
      </c>
      <c r="B113" s="1" t="s">
        <v>56</v>
      </c>
      <c r="C113" s="1" t="s">
        <v>52</v>
      </c>
      <c r="D113" s="1" t="s">
        <v>42</v>
      </c>
      <c r="E113" s="1" t="s">
        <v>17</v>
      </c>
      <c r="F113" s="1">
        <v>7</v>
      </c>
      <c r="G113" s="1">
        <v>161.06</v>
      </c>
      <c r="H113" s="1">
        <v>1127.42</v>
      </c>
      <c r="I113" s="1">
        <v>1087.42</v>
      </c>
      <c r="J113" s="1">
        <v>40</v>
      </c>
      <c r="K113" s="1" t="s">
        <v>18</v>
      </c>
      <c r="L113" s="1" t="s">
        <v>19</v>
      </c>
      <c r="M113" s="1" t="s">
        <v>20</v>
      </c>
      <c r="N113" s="1" t="s">
        <v>21</v>
      </c>
    </row>
    <row r="114" spans="1:14">
      <c r="A114" s="2">
        <v>45627</v>
      </c>
      <c r="B114" s="1" t="s">
        <v>45</v>
      </c>
      <c r="C114" s="1" t="s">
        <v>44</v>
      </c>
      <c r="D114" s="1" t="s">
        <v>23</v>
      </c>
      <c r="E114" s="1" t="s">
        <v>46</v>
      </c>
      <c r="F114" s="1">
        <v>4</v>
      </c>
      <c r="G114" s="1">
        <v>23.62</v>
      </c>
      <c r="H114" s="1">
        <v>94.48</v>
      </c>
      <c r="I114" s="1">
        <v>34.480000000000004</v>
      </c>
      <c r="J114" s="1">
        <v>60</v>
      </c>
      <c r="K114" s="1" t="s">
        <v>25</v>
      </c>
      <c r="L114" s="1" t="s">
        <v>26</v>
      </c>
      <c r="M114" s="1" t="s">
        <v>27</v>
      </c>
      <c r="N114" s="1" t="s">
        <v>28</v>
      </c>
    </row>
    <row r="115" spans="1:14">
      <c r="A115" s="2">
        <v>45373</v>
      </c>
      <c r="B115" s="1" t="s">
        <v>39</v>
      </c>
      <c r="C115" s="1" t="s">
        <v>40</v>
      </c>
      <c r="D115" s="1" t="s">
        <v>16</v>
      </c>
      <c r="E115" s="1" t="s">
        <v>24</v>
      </c>
      <c r="F115" s="1">
        <v>1</v>
      </c>
      <c r="G115" s="1">
        <v>340.59</v>
      </c>
      <c r="H115" s="1">
        <v>340.59</v>
      </c>
      <c r="I115" s="1">
        <v>275.08999999999997</v>
      </c>
      <c r="J115" s="1">
        <v>65.5</v>
      </c>
      <c r="K115" s="1" t="s">
        <v>32</v>
      </c>
      <c r="L115" s="1" t="s">
        <v>33</v>
      </c>
      <c r="M115" s="1" t="s">
        <v>34</v>
      </c>
      <c r="N115" s="1" t="s">
        <v>35</v>
      </c>
    </row>
    <row r="116" spans="1:14">
      <c r="A116" s="2">
        <v>45389</v>
      </c>
      <c r="B116" s="1" t="s">
        <v>53</v>
      </c>
      <c r="C116" s="1" t="s">
        <v>40</v>
      </c>
      <c r="D116" s="1" t="s">
        <v>16</v>
      </c>
      <c r="E116" s="1" t="s">
        <v>17</v>
      </c>
      <c r="F116" s="1">
        <v>2</v>
      </c>
      <c r="G116" s="1">
        <v>362.31</v>
      </c>
      <c r="H116" s="1">
        <v>724.62</v>
      </c>
      <c r="I116" s="1">
        <v>675.62</v>
      </c>
      <c r="J116" s="1">
        <v>49</v>
      </c>
      <c r="K116" s="1" t="s">
        <v>18</v>
      </c>
      <c r="L116" s="1" t="s">
        <v>19</v>
      </c>
      <c r="M116" s="1" t="s">
        <v>37</v>
      </c>
      <c r="N116" s="1" t="s">
        <v>21</v>
      </c>
    </row>
    <row r="117" spans="1:14">
      <c r="A117" s="2">
        <v>45380</v>
      </c>
      <c r="B117" s="1" t="s">
        <v>55</v>
      </c>
      <c r="C117" s="1" t="s">
        <v>44</v>
      </c>
      <c r="D117" s="1" t="s">
        <v>42</v>
      </c>
      <c r="E117" s="1" t="s">
        <v>31</v>
      </c>
      <c r="F117" s="1">
        <v>8</v>
      </c>
      <c r="G117" s="1">
        <v>418.71</v>
      </c>
      <c r="H117" s="1">
        <v>3349.68</v>
      </c>
      <c r="I117" s="1">
        <v>3309.68</v>
      </c>
      <c r="J117" s="1">
        <v>40</v>
      </c>
      <c r="K117" s="1" t="s">
        <v>25</v>
      </c>
      <c r="L117" s="1" t="s">
        <v>26</v>
      </c>
      <c r="M117" s="1" t="s">
        <v>20</v>
      </c>
      <c r="N117" s="1" t="s">
        <v>28</v>
      </c>
    </row>
    <row r="118" spans="1:14">
      <c r="A118" s="2">
        <v>45304</v>
      </c>
      <c r="B118" s="1" t="s">
        <v>29</v>
      </c>
      <c r="C118" s="1" t="s">
        <v>30</v>
      </c>
      <c r="D118" s="1" t="s">
        <v>16</v>
      </c>
      <c r="E118" s="1" t="s">
        <v>46</v>
      </c>
      <c r="F118" s="1">
        <v>6</v>
      </c>
      <c r="G118" s="1">
        <v>111.13</v>
      </c>
      <c r="H118" s="1">
        <v>666.78</v>
      </c>
      <c r="I118" s="1">
        <v>606.78</v>
      </c>
      <c r="J118" s="1">
        <v>60</v>
      </c>
      <c r="K118" s="1" t="s">
        <v>32</v>
      </c>
      <c r="L118" s="1" t="s">
        <v>19</v>
      </c>
      <c r="M118" s="1" t="s">
        <v>27</v>
      </c>
      <c r="N118" s="1" t="s">
        <v>35</v>
      </c>
    </row>
    <row r="119" spans="1:14">
      <c r="A119" s="2">
        <v>45636</v>
      </c>
      <c r="B119" s="1" t="s">
        <v>55</v>
      </c>
      <c r="C119" s="1" t="s">
        <v>44</v>
      </c>
      <c r="D119" s="1" t="s">
        <v>42</v>
      </c>
      <c r="E119" s="1" t="s">
        <v>31</v>
      </c>
      <c r="F119" s="1">
        <v>9</v>
      </c>
      <c r="G119" s="1">
        <v>484.72</v>
      </c>
      <c r="H119" s="1">
        <v>4362.4799999999996</v>
      </c>
      <c r="I119" s="1">
        <v>4296.9799999999996</v>
      </c>
      <c r="J119" s="1">
        <v>65.5</v>
      </c>
      <c r="K119" s="1" t="s">
        <v>18</v>
      </c>
      <c r="L119" s="1" t="s">
        <v>19</v>
      </c>
      <c r="M119" s="1" t="s">
        <v>34</v>
      </c>
      <c r="N119" s="1" t="s">
        <v>21</v>
      </c>
    </row>
    <row r="120" spans="1:14">
      <c r="A120" s="2">
        <v>45605</v>
      </c>
      <c r="B120" s="1" t="s">
        <v>41</v>
      </c>
      <c r="C120" s="1" t="s">
        <v>30</v>
      </c>
      <c r="D120" s="1" t="s">
        <v>42</v>
      </c>
      <c r="E120" s="1" t="s">
        <v>24</v>
      </c>
      <c r="F120" s="1">
        <v>1</v>
      </c>
      <c r="G120" s="1">
        <v>67.53</v>
      </c>
      <c r="H120" s="1">
        <v>67.53</v>
      </c>
      <c r="I120" s="1">
        <v>18.53</v>
      </c>
      <c r="J120" s="1">
        <v>49</v>
      </c>
      <c r="K120" s="1" t="s">
        <v>25</v>
      </c>
      <c r="L120" s="1" t="s">
        <v>26</v>
      </c>
      <c r="M120" s="1" t="s">
        <v>37</v>
      </c>
      <c r="N120" s="1" t="s">
        <v>28</v>
      </c>
    </row>
    <row r="121" spans="1:14">
      <c r="A121" s="2">
        <v>45380</v>
      </c>
      <c r="B121" s="1" t="s">
        <v>54</v>
      </c>
      <c r="C121" s="1" t="s">
        <v>40</v>
      </c>
      <c r="D121" s="1" t="s">
        <v>42</v>
      </c>
      <c r="E121" s="1" t="s">
        <v>24</v>
      </c>
      <c r="F121" s="1">
        <v>2</v>
      </c>
      <c r="G121" s="1">
        <v>368.03</v>
      </c>
      <c r="H121" s="1">
        <v>736.06</v>
      </c>
      <c r="I121" s="1">
        <v>696.06</v>
      </c>
      <c r="J121" s="1">
        <v>40</v>
      </c>
      <c r="K121" s="1" t="s">
        <v>32</v>
      </c>
      <c r="L121" s="1" t="s">
        <v>19</v>
      </c>
      <c r="M121" s="1" t="s">
        <v>20</v>
      </c>
      <c r="N121" s="1" t="s">
        <v>35</v>
      </c>
    </row>
    <row r="122" spans="1:14">
      <c r="A122" s="2">
        <v>45372</v>
      </c>
      <c r="B122" s="1" t="s">
        <v>38</v>
      </c>
      <c r="C122" s="1" t="s">
        <v>15</v>
      </c>
      <c r="D122" s="1" t="s">
        <v>49</v>
      </c>
      <c r="E122" s="1" t="s">
        <v>24</v>
      </c>
      <c r="F122" s="1">
        <v>1</v>
      </c>
      <c r="G122" s="1">
        <v>372.87</v>
      </c>
      <c r="H122" s="1">
        <v>372.87</v>
      </c>
      <c r="I122" s="1">
        <v>312.87</v>
      </c>
      <c r="J122" s="1">
        <v>60</v>
      </c>
      <c r="K122" s="1" t="s">
        <v>18</v>
      </c>
      <c r="L122" s="1" t="s">
        <v>33</v>
      </c>
      <c r="M122" s="1" t="s">
        <v>27</v>
      </c>
      <c r="N122" s="1" t="s">
        <v>21</v>
      </c>
    </row>
    <row r="123" spans="1:14">
      <c r="A123" s="2">
        <v>45329</v>
      </c>
      <c r="B123" s="1" t="s">
        <v>14</v>
      </c>
      <c r="C123" s="1" t="s">
        <v>15</v>
      </c>
      <c r="D123" s="1" t="s">
        <v>42</v>
      </c>
      <c r="E123" s="1" t="s">
        <v>46</v>
      </c>
      <c r="F123" s="1">
        <v>10</v>
      </c>
      <c r="G123" s="1">
        <v>51.96</v>
      </c>
      <c r="H123" s="1">
        <v>519.6</v>
      </c>
      <c r="I123" s="1">
        <v>454.1</v>
      </c>
      <c r="J123" s="1">
        <v>65.5</v>
      </c>
      <c r="K123" s="1" t="s">
        <v>25</v>
      </c>
      <c r="L123" s="1" t="s">
        <v>26</v>
      </c>
      <c r="M123" s="1" t="s">
        <v>34</v>
      </c>
      <c r="N123" s="1" t="s">
        <v>28</v>
      </c>
    </row>
    <row r="124" spans="1:14">
      <c r="A124" s="2">
        <v>45449</v>
      </c>
      <c r="B124" s="1" t="s">
        <v>56</v>
      </c>
      <c r="C124" s="1" t="s">
        <v>52</v>
      </c>
      <c r="D124" s="1" t="s">
        <v>48</v>
      </c>
      <c r="E124" s="1" t="s">
        <v>24</v>
      </c>
      <c r="F124" s="1">
        <v>8</v>
      </c>
      <c r="G124" s="1">
        <v>434.36</v>
      </c>
      <c r="H124" s="1">
        <v>3474.88</v>
      </c>
      <c r="I124" s="1">
        <v>3425.88</v>
      </c>
      <c r="J124" s="1">
        <v>49</v>
      </c>
      <c r="K124" s="1" t="s">
        <v>32</v>
      </c>
      <c r="L124" s="1" t="s">
        <v>19</v>
      </c>
      <c r="M124" s="1" t="s">
        <v>37</v>
      </c>
      <c r="N124" s="1" t="s">
        <v>35</v>
      </c>
    </row>
    <row r="125" spans="1:14">
      <c r="A125" s="2">
        <v>45423</v>
      </c>
      <c r="B125" s="1" t="s">
        <v>57</v>
      </c>
      <c r="C125" s="1" t="s">
        <v>30</v>
      </c>
      <c r="D125" s="1" t="s">
        <v>23</v>
      </c>
      <c r="E125" s="1" t="s">
        <v>31</v>
      </c>
      <c r="F125" s="1">
        <v>3</v>
      </c>
      <c r="G125" s="1">
        <v>400.96</v>
      </c>
      <c r="H125" s="1">
        <v>1202.8800000000001</v>
      </c>
      <c r="I125" s="1">
        <v>1162.8800000000001</v>
      </c>
      <c r="J125" s="1">
        <v>40</v>
      </c>
      <c r="K125" s="1" t="s">
        <v>18</v>
      </c>
      <c r="L125" s="1" t="s">
        <v>26</v>
      </c>
      <c r="M125" s="1" t="s">
        <v>20</v>
      </c>
      <c r="N125" s="1" t="s">
        <v>21</v>
      </c>
    </row>
    <row r="126" spans="1:14">
      <c r="A126" s="2">
        <v>45389</v>
      </c>
      <c r="B126" s="1" t="s">
        <v>56</v>
      </c>
      <c r="C126" s="1" t="s">
        <v>52</v>
      </c>
      <c r="D126" s="1" t="s">
        <v>49</v>
      </c>
      <c r="E126" s="1" t="s">
        <v>24</v>
      </c>
      <c r="F126" s="1">
        <v>1</v>
      </c>
      <c r="G126" s="1">
        <v>55.02</v>
      </c>
      <c r="H126" s="1">
        <v>55.02</v>
      </c>
      <c r="I126" s="1">
        <v>-4.9799999999999969</v>
      </c>
      <c r="J126" s="1">
        <v>60</v>
      </c>
      <c r="K126" s="1" t="s">
        <v>25</v>
      </c>
      <c r="L126" s="1" t="s">
        <v>19</v>
      </c>
      <c r="M126" s="1" t="s">
        <v>27</v>
      </c>
      <c r="N126" s="1" t="s">
        <v>28</v>
      </c>
    </row>
    <row r="127" spans="1:14">
      <c r="A127" s="2">
        <v>45595</v>
      </c>
      <c r="B127" s="1" t="s">
        <v>53</v>
      </c>
      <c r="C127" s="1" t="s">
        <v>40</v>
      </c>
      <c r="D127" s="1" t="s">
        <v>16</v>
      </c>
      <c r="E127" s="1" t="s">
        <v>31</v>
      </c>
      <c r="F127" s="1">
        <v>5</v>
      </c>
      <c r="G127" s="1">
        <v>187.23</v>
      </c>
      <c r="H127" s="1">
        <v>936.15</v>
      </c>
      <c r="I127" s="1">
        <v>870.65</v>
      </c>
      <c r="J127" s="1">
        <v>65.5</v>
      </c>
      <c r="K127" s="1" t="s">
        <v>32</v>
      </c>
      <c r="L127" s="1" t="s">
        <v>19</v>
      </c>
      <c r="M127" s="1" t="s">
        <v>34</v>
      </c>
      <c r="N127" s="1" t="s">
        <v>35</v>
      </c>
    </row>
    <row r="128" spans="1:14">
      <c r="A128" s="2">
        <v>45346</v>
      </c>
      <c r="B128" s="1" t="s">
        <v>54</v>
      </c>
      <c r="C128" s="1" t="s">
        <v>40</v>
      </c>
      <c r="D128" s="1" t="s">
        <v>48</v>
      </c>
      <c r="E128" s="1" t="s">
        <v>24</v>
      </c>
      <c r="F128" s="1">
        <v>9</v>
      </c>
      <c r="G128" s="1">
        <v>202.72</v>
      </c>
      <c r="H128" s="1">
        <v>1824.48</v>
      </c>
      <c r="I128" s="1">
        <v>1775.48</v>
      </c>
      <c r="J128" s="1">
        <v>49</v>
      </c>
      <c r="K128" s="1" t="s">
        <v>18</v>
      </c>
      <c r="L128" s="1" t="s">
        <v>26</v>
      </c>
      <c r="M128" s="1" t="s">
        <v>37</v>
      </c>
      <c r="N128" s="1" t="s">
        <v>21</v>
      </c>
    </row>
    <row r="129" spans="1:14">
      <c r="A129" s="2">
        <v>45600</v>
      </c>
      <c r="B129" s="1" t="s">
        <v>54</v>
      </c>
      <c r="C129" s="1" t="s">
        <v>40</v>
      </c>
      <c r="D129" s="1" t="s">
        <v>16</v>
      </c>
      <c r="E129" s="1" t="s">
        <v>31</v>
      </c>
      <c r="F129" s="1">
        <v>3</v>
      </c>
      <c r="G129" s="1">
        <v>276.01</v>
      </c>
      <c r="H129" s="1">
        <v>828.03</v>
      </c>
      <c r="I129" s="1">
        <v>788.03</v>
      </c>
      <c r="J129" s="1">
        <v>40</v>
      </c>
      <c r="K129" s="1" t="s">
        <v>25</v>
      </c>
      <c r="L129" s="1" t="s">
        <v>33</v>
      </c>
      <c r="M129" s="1" t="s">
        <v>20</v>
      </c>
      <c r="N129" s="1" t="s">
        <v>28</v>
      </c>
    </row>
    <row r="130" spans="1:14">
      <c r="A130" s="2">
        <v>45305</v>
      </c>
      <c r="B130" s="1" t="s">
        <v>45</v>
      </c>
      <c r="C130" s="1" t="s">
        <v>44</v>
      </c>
      <c r="D130" s="1" t="s">
        <v>49</v>
      </c>
      <c r="E130" s="1" t="s">
        <v>24</v>
      </c>
      <c r="F130" s="1">
        <v>10</v>
      </c>
      <c r="G130" s="1">
        <v>281.43</v>
      </c>
      <c r="H130" s="1">
        <v>2814.3</v>
      </c>
      <c r="I130" s="1">
        <v>2754.3</v>
      </c>
      <c r="J130" s="1">
        <v>60</v>
      </c>
      <c r="K130" s="1" t="s">
        <v>32</v>
      </c>
      <c r="L130" s="1" t="s">
        <v>19</v>
      </c>
      <c r="M130" s="1" t="s">
        <v>27</v>
      </c>
      <c r="N130" s="1" t="s">
        <v>35</v>
      </c>
    </row>
    <row r="131" spans="1:14">
      <c r="A131" s="2">
        <v>45514</v>
      </c>
      <c r="B131" s="1" t="s">
        <v>56</v>
      </c>
      <c r="C131" s="1" t="s">
        <v>52</v>
      </c>
      <c r="D131" s="1" t="s">
        <v>48</v>
      </c>
      <c r="E131" s="1" t="s">
        <v>31</v>
      </c>
      <c r="F131" s="1">
        <v>7</v>
      </c>
      <c r="G131" s="1">
        <v>483.02</v>
      </c>
      <c r="H131" s="1">
        <v>3381.14</v>
      </c>
      <c r="I131" s="1">
        <v>3315.64</v>
      </c>
      <c r="J131" s="1">
        <v>65.5</v>
      </c>
      <c r="K131" s="1" t="s">
        <v>18</v>
      </c>
      <c r="L131" s="1" t="s">
        <v>26</v>
      </c>
      <c r="M131" s="1" t="s">
        <v>34</v>
      </c>
      <c r="N131" s="1" t="s">
        <v>21</v>
      </c>
    </row>
    <row r="132" spans="1:14">
      <c r="A132" s="2">
        <v>45367</v>
      </c>
      <c r="B132" s="1" t="s">
        <v>55</v>
      </c>
      <c r="C132" s="1" t="s">
        <v>44</v>
      </c>
      <c r="D132" s="1" t="s">
        <v>48</v>
      </c>
      <c r="E132" s="1" t="s">
        <v>17</v>
      </c>
      <c r="F132" s="1">
        <v>10</v>
      </c>
      <c r="G132" s="1">
        <v>84.68</v>
      </c>
      <c r="H132" s="1">
        <v>846.8</v>
      </c>
      <c r="I132" s="1">
        <v>797.8</v>
      </c>
      <c r="J132" s="1">
        <v>49</v>
      </c>
      <c r="K132" s="1" t="s">
        <v>25</v>
      </c>
      <c r="L132" s="1" t="s">
        <v>19</v>
      </c>
      <c r="M132" s="1" t="s">
        <v>37</v>
      </c>
      <c r="N132" s="1" t="s">
        <v>28</v>
      </c>
    </row>
    <row r="133" spans="1:14">
      <c r="A133" s="2">
        <v>45462</v>
      </c>
      <c r="B133" s="1" t="s">
        <v>39</v>
      </c>
      <c r="C133" s="1" t="s">
        <v>40</v>
      </c>
      <c r="D133" s="1" t="s">
        <v>16</v>
      </c>
      <c r="E133" s="1" t="s">
        <v>46</v>
      </c>
      <c r="F133" s="1">
        <v>3</v>
      </c>
      <c r="G133" s="1">
        <v>306.7</v>
      </c>
      <c r="H133" s="1">
        <v>920.1</v>
      </c>
      <c r="I133" s="1">
        <v>880.1</v>
      </c>
      <c r="J133" s="1">
        <v>40</v>
      </c>
      <c r="K133" s="1" t="s">
        <v>32</v>
      </c>
      <c r="L133" s="1" t="s">
        <v>19</v>
      </c>
      <c r="M133" s="1" t="s">
        <v>20</v>
      </c>
      <c r="N133" s="1" t="s">
        <v>35</v>
      </c>
    </row>
    <row r="134" spans="1:14">
      <c r="A134" s="2">
        <v>45452</v>
      </c>
      <c r="B134" s="1" t="s">
        <v>39</v>
      </c>
      <c r="C134" s="1" t="s">
        <v>40</v>
      </c>
      <c r="D134" s="1" t="s">
        <v>48</v>
      </c>
      <c r="E134" s="1" t="s">
        <v>31</v>
      </c>
      <c r="F134" s="1">
        <v>2</v>
      </c>
      <c r="G134" s="1">
        <v>68.94</v>
      </c>
      <c r="H134" s="1">
        <v>137.88</v>
      </c>
      <c r="I134" s="1">
        <v>77.88</v>
      </c>
      <c r="J134" s="1">
        <v>60</v>
      </c>
      <c r="K134" s="1" t="s">
        <v>18</v>
      </c>
      <c r="L134" s="1" t="s">
        <v>33</v>
      </c>
      <c r="M134" s="1" t="s">
        <v>27</v>
      </c>
      <c r="N134" s="1" t="s">
        <v>21</v>
      </c>
    </row>
    <row r="135" spans="1:14">
      <c r="A135" s="2">
        <v>45431</v>
      </c>
      <c r="B135" s="1" t="s">
        <v>50</v>
      </c>
      <c r="C135" s="1" t="s">
        <v>40</v>
      </c>
      <c r="D135" s="1" t="s">
        <v>16</v>
      </c>
      <c r="E135" s="1" t="s">
        <v>46</v>
      </c>
      <c r="F135" s="1">
        <v>7</v>
      </c>
      <c r="G135" s="1">
        <v>483.1</v>
      </c>
      <c r="H135" s="1">
        <v>3381.7</v>
      </c>
      <c r="I135" s="1">
        <v>3316.2</v>
      </c>
      <c r="J135" s="1">
        <v>65.5</v>
      </c>
      <c r="K135" s="1" t="s">
        <v>25</v>
      </c>
      <c r="L135" s="1" t="s">
        <v>19</v>
      </c>
      <c r="M135" s="1" t="s">
        <v>34</v>
      </c>
      <c r="N135" s="1" t="s">
        <v>28</v>
      </c>
    </row>
    <row r="136" spans="1:14">
      <c r="A136" s="2">
        <v>45412</v>
      </c>
      <c r="B136" s="1" t="s">
        <v>56</v>
      </c>
      <c r="C136" s="1" t="s">
        <v>52</v>
      </c>
      <c r="D136" s="1" t="s">
        <v>48</v>
      </c>
      <c r="E136" s="1" t="s">
        <v>24</v>
      </c>
      <c r="F136" s="1">
        <v>2</v>
      </c>
      <c r="G136" s="1">
        <v>439.62</v>
      </c>
      <c r="H136" s="1">
        <v>879.24</v>
      </c>
      <c r="I136" s="1">
        <v>830.24</v>
      </c>
      <c r="J136" s="1">
        <v>49</v>
      </c>
      <c r="K136" s="1" t="s">
        <v>32</v>
      </c>
      <c r="L136" s="1" t="s">
        <v>26</v>
      </c>
      <c r="M136" s="1" t="s">
        <v>37</v>
      </c>
      <c r="N136" s="1" t="s">
        <v>35</v>
      </c>
    </row>
    <row r="137" spans="1:14">
      <c r="A137" s="2">
        <v>45399</v>
      </c>
      <c r="B137" s="1" t="s">
        <v>55</v>
      </c>
      <c r="C137" s="1" t="s">
        <v>44</v>
      </c>
      <c r="D137" s="1" t="s">
        <v>49</v>
      </c>
      <c r="E137" s="1" t="s">
        <v>46</v>
      </c>
      <c r="F137" s="1">
        <v>9</v>
      </c>
      <c r="G137" s="1">
        <v>153.18</v>
      </c>
      <c r="H137" s="1">
        <v>1378.62</v>
      </c>
      <c r="I137" s="1">
        <v>1338.62</v>
      </c>
      <c r="J137" s="1">
        <v>40</v>
      </c>
      <c r="K137" s="1" t="s">
        <v>18</v>
      </c>
      <c r="L137" s="1" t="s">
        <v>19</v>
      </c>
      <c r="M137" s="1" t="s">
        <v>20</v>
      </c>
      <c r="N137" s="1" t="s">
        <v>21</v>
      </c>
    </row>
    <row r="138" spans="1:14">
      <c r="A138" s="2">
        <v>45462</v>
      </c>
      <c r="B138" s="1" t="s">
        <v>45</v>
      </c>
      <c r="C138" s="1" t="s">
        <v>44</v>
      </c>
      <c r="D138" s="1" t="s">
        <v>48</v>
      </c>
      <c r="E138" s="1" t="s">
        <v>17</v>
      </c>
      <c r="F138" s="1">
        <v>5</v>
      </c>
      <c r="G138" s="1">
        <v>51.53</v>
      </c>
      <c r="H138" s="1">
        <v>257.64999999999998</v>
      </c>
      <c r="I138" s="1">
        <v>197.64999999999998</v>
      </c>
      <c r="J138" s="1">
        <v>60</v>
      </c>
      <c r="K138" s="1" t="s">
        <v>25</v>
      </c>
      <c r="L138" s="1" t="s">
        <v>19</v>
      </c>
      <c r="M138" s="1" t="s">
        <v>27</v>
      </c>
      <c r="N138" s="1" t="s">
        <v>28</v>
      </c>
    </row>
    <row r="139" spans="1:14">
      <c r="A139" s="2">
        <v>45483</v>
      </c>
      <c r="B139" s="1" t="s">
        <v>41</v>
      </c>
      <c r="C139" s="1" t="s">
        <v>30</v>
      </c>
      <c r="D139" s="1" t="s">
        <v>42</v>
      </c>
      <c r="E139" s="1" t="s">
        <v>46</v>
      </c>
      <c r="F139" s="1">
        <v>4</v>
      </c>
      <c r="G139" s="1">
        <v>231.62</v>
      </c>
      <c r="H139" s="1">
        <v>926.48</v>
      </c>
      <c r="I139" s="1">
        <v>860.98</v>
      </c>
      <c r="J139" s="1">
        <v>65.5</v>
      </c>
      <c r="K139" s="1" t="s">
        <v>32</v>
      </c>
      <c r="L139" s="1" t="s">
        <v>26</v>
      </c>
      <c r="M139" s="1" t="s">
        <v>34</v>
      </c>
      <c r="N139" s="1" t="s">
        <v>35</v>
      </c>
    </row>
    <row r="140" spans="1:14">
      <c r="A140" s="2">
        <v>45395</v>
      </c>
      <c r="B140" s="1" t="s">
        <v>47</v>
      </c>
      <c r="C140" s="1" t="s">
        <v>44</v>
      </c>
      <c r="D140" s="1" t="s">
        <v>48</v>
      </c>
      <c r="E140" s="1" t="s">
        <v>31</v>
      </c>
      <c r="F140" s="1">
        <v>5</v>
      </c>
      <c r="G140" s="1">
        <v>303.83999999999997</v>
      </c>
      <c r="H140" s="1">
        <v>1519.2</v>
      </c>
      <c r="I140" s="1">
        <v>1470.2</v>
      </c>
      <c r="J140" s="1">
        <v>49</v>
      </c>
      <c r="K140" s="1" t="s">
        <v>18</v>
      </c>
      <c r="L140" s="1" t="s">
        <v>33</v>
      </c>
      <c r="M140" s="1" t="s">
        <v>37</v>
      </c>
      <c r="N140" s="1" t="s">
        <v>21</v>
      </c>
    </row>
    <row r="141" spans="1:14">
      <c r="A141" s="2">
        <v>45313</v>
      </c>
      <c r="B141" s="1" t="s">
        <v>47</v>
      </c>
      <c r="C141" s="1" t="s">
        <v>44</v>
      </c>
      <c r="D141" s="1" t="s">
        <v>49</v>
      </c>
      <c r="E141" s="1" t="s">
        <v>46</v>
      </c>
      <c r="F141" s="1">
        <v>9</v>
      </c>
      <c r="G141" s="1">
        <v>374.31</v>
      </c>
      <c r="H141" s="1">
        <v>3368.79</v>
      </c>
      <c r="I141" s="1">
        <v>3328.79</v>
      </c>
      <c r="J141" s="1">
        <v>40</v>
      </c>
      <c r="K141" s="1" t="s">
        <v>25</v>
      </c>
      <c r="L141" s="1" t="s">
        <v>19</v>
      </c>
      <c r="M141" s="1" t="s">
        <v>20</v>
      </c>
      <c r="N141" s="1" t="s">
        <v>28</v>
      </c>
    </row>
    <row r="142" spans="1:14">
      <c r="A142" s="2">
        <v>45579</v>
      </c>
      <c r="B142" s="1" t="s">
        <v>39</v>
      </c>
      <c r="C142" s="1" t="s">
        <v>40</v>
      </c>
      <c r="D142" s="1" t="s">
        <v>49</v>
      </c>
      <c r="E142" s="1" t="s">
        <v>24</v>
      </c>
      <c r="F142" s="1">
        <v>5</v>
      </c>
      <c r="G142" s="1">
        <v>158.87</v>
      </c>
      <c r="H142" s="1">
        <v>794.35</v>
      </c>
      <c r="I142" s="1">
        <v>734.35</v>
      </c>
      <c r="J142" s="1">
        <v>60</v>
      </c>
      <c r="K142" s="1" t="s">
        <v>32</v>
      </c>
      <c r="L142" s="1" t="s">
        <v>19</v>
      </c>
      <c r="M142" s="1" t="s">
        <v>27</v>
      </c>
      <c r="N142" s="1" t="s">
        <v>35</v>
      </c>
    </row>
    <row r="143" spans="1:14">
      <c r="A143" s="2">
        <v>45544</v>
      </c>
      <c r="B143" s="1" t="s">
        <v>59</v>
      </c>
      <c r="C143" s="1" t="s">
        <v>30</v>
      </c>
      <c r="D143" s="1" t="s">
        <v>49</v>
      </c>
      <c r="E143" s="1" t="s">
        <v>46</v>
      </c>
      <c r="F143" s="1">
        <v>3</v>
      </c>
      <c r="G143" s="1">
        <v>174.34</v>
      </c>
      <c r="H143" s="1">
        <v>523.02</v>
      </c>
      <c r="I143" s="1">
        <v>457.52</v>
      </c>
      <c r="J143" s="1">
        <v>65.5</v>
      </c>
      <c r="K143" s="1" t="s">
        <v>18</v>
      </c>
      <c r="L143" s="1" t="s">
        <v>19</v>
      </c>
      <c r="M143" s="1" t="s">
        <v>34</v>
      </c>
      <c r="N143" s="1" t="s">
        <v>21</v>
      </c>
    </row>
    <row r="144" spans="1:14">
      <c r="A144" s="2">
        <v>45438</v>
      </c>
      <c r="B144" s="1" t="s">
        <v>57</v>
      </c>
      <c r="C144" s="1" t="s">
        <v>30</v>
      </c>
      <c r="D144" s="1" t="s">
        <v>23</v>
      </c>
      <c r="E144" s="1" t="s">
        <v>46</v>
      </c>
      <c r="F144" s="1">
        <v>6</v>
      </c>
      <c r="G144" s="1">
        <v>237.96</v>
      </c>
      <c r="H144" s="1">
        <v>1427.76</v>
      </c>
      <c r="I144" s="1">
        <v>1378.76</v>
      </c>
      <c r="J144" s="1">
        <v>49</v>
      </c>
      <c r="K144" s="1" t="s">
        <v>25</v>
      </c>
      <c r="L144" s="1" t="s">
        <v>26</v>
      </c>
      <c r="M144" s="1" t="s">
        <v>37</v>
      </c>
      <c r="N144" s="1" t="s">
        <v>28</v>
      </c>
    </row>
    <row r="145" spans="1:14">
      <c r="A145" s="2">
        <v>45578</v>
      </c>
      <c r="B145" s="1" t="s">
        <v>41</v>
      </c>
      <c r="C145" s="1" t="s">
        <v>30</v>
      </c>
      <c r="D145" s="1" t="s">
        <v>16</v>
      </c>
      <c r="E145" s="1" t="s">
        <v>17</v>
      </c>
      <c r="F145" s="1">
        <v>1</v>
      </c>
      <c r="G145" s="1">
        <v>347.92</v>
      </c>
      <c r="H145" s="1">
        <v>347.92</v>
      </c>
      <c r="I145" s="1">
        <v>307.92</v>
      </c>
      <c r="J145" s="1">
        <v>40</v>
      </c>
      <c r="K145" s="1" t="s">
        <v>32</v>
      </c>
      <c r="L145" s="1" t="s">
        <v>33</v>
      </c>
      <c r="M145" s="1" t="s">
        <v>20</v>
      </c>
      <c r="N145" s="1" t="s">
        <v>35</v>
      </c>
    </row>
    <row r="146" spans="1:14">
      <c r="A146" s="2">
        <v>45497</v>
      </c>
      <c r="B146" s="1" t="s">
        <v>53</v>
      </c>
      <c r="C146" s="1" t="s">
        <v>40</v>
      </c>
      <c r="D146" s="1" t="s">
        <v>16</v>
      </c>
      <c r="E146" s="1" t="s">
        <v>46</v>
      </c>
      <c r="F146" s="1">
        <v>9</v>
      </c>
      <c r="G146" s="1">
        <v>227.15</v>
      </c>
      <c r="H146" s="1">
        <v>2044.35</v>
      </c>
      <c r="I146" s="1">
        <v>1984.35</v>
      </c>
      <c r="J146" s="1">
        <v>60</v>
      </c>
      <c r="K146" s="1" t="s">
        <v>18</v>
      </c>
      <c r="L146" s="1" t="s">
        <v>19</v>
      </c>
      <c r="M146" s="1" t="s">
        <v>27</v>
      </c>
      <c r="N146" s="1" t="s">
        <v>21</v>
      </c>
    </row>
    <row r="147" spans="1:14">
      <c r="A147" s="2">
        <v>45561</v>
      </c>
      <c r="B147" s="1" t="s">
        <v>55</v>
      </c>
      <c r="C147" s="1" t="s">
        <v>44</v>
      </c>
      <c r="D147" s="1" t="s">
        <v>23</v>
      </c>
      <c r="E147" s="1" t="s">
        <v>31</v>
      </c>
      <c r="F147" s="1">
        <v>7</v>
      </c>
      <c r="G147" s="1">
        <v>459.54</v>
      </c>
      <c r="H147" s="1">
        <v>3216.78</v>
      </c>
      <c r="I147" s="1">
        <v>3151.28</v>
      </c>
      <c r="J147" s="1">
        <v>65.5</v>
      </c>
      <c r="K147" s="1" t="s">
        <v>25</v>
      </c>
      <c r="L147" s="1" t="s">
        <v>19</v>
      </c>
      <c r="M147" s="1" t="s">
        <v>34</v>
      </c>
      <c r="N147" s="1" t="s">
        <v>28</v>
      </c>
    </row>
    <row r="148" spans="1:14">
      <c r="A148" s="2">
        <v>45617</v>
      </c>
      <c r="B148" s="1" t="s">
        <v>56</v>
      </c>
      <c r="C148" s="1" t="s">
        <v>52</v>
      </c>
      <c r="D148" s="1" t="s">
        <v>42</v>
      </c>
      <c r="E148" s="1" t="s">
        <v>24</v>
      </c>
      <c r="F148" s="1">
        <v>8</v>
      </c>
      <c r="G148" s="1">
        <v>103.76</v>
      </c>
      <c r="H148" s="1">
        <v>830.08</v>
      </c>
      <c r="I148" s="1">
        <v>781.08</v>
      </c>
      <c r="J148" s="1">
        <v>49</v>
      </c>
      <c r="K148" s="1" t="s">
        <v>32</v>
      </c>
      <c r="L148" s="1" t="s">
        <v>26</v>
      </c>
      <c r="M148" s="1" t="s">
        <v>37</v>
      </c>
      <c r="N148" s="1" t="s">
        <v>35</v>
      </c>
    </row>
    <row r="149" spans="1:14">
      <c r="A149" s="2">
        <v>45529</v>
      </c>
      <c r="B149" s="1" t="s">
        <v>38</v>
      </c>
      <c r="C149" s="1" t="s">
        <v>15</v>
      </c>
      <c r="D149" s="1" t="s">
        <v>23</v>
      </c>
      <c r="E149" s="1" t="s">
        <v>31</v>
      </c>
      <c r="F149" s="1">
        <v>4</v>
      </c>
      <c r="G149" s="1">
        <v>162.47999999999999</v>
      </c>
      <c r="H149" s="1">
        <v>649.91999999999996</v>
      </c>
      <c r="I149" s="1">
        <v>609.91999999999996</v>
      </c>
      <c r="J149" s="1">
        <v>40</v>
      </c>
      <c r="K149" s="1" t="s">
        <v>18</v>
      </c>
      <c r="L149" s="1" t="s">
        <v>19</v>
      </c>
      <c r="M149" s="1" t="s">
        <v>20</v>
      </c>
      <c r="N149" s="1" t="s">
        <v>21</v>
      </c>
    </row>
    <row r="150" spans="1:14">
      <c r="A150" s="2">
        <v>45334</v>
      </c>
      <c r="B150" s="1" t="s">
        <v>47</v>
      </c>
      <c r="C150" s="1" t="s">
        <v>44</v>
      </c>
      <c r="D150" s="1" t="s">
        <v>16</v>
      </c>
      <c r="E150" s="1" t="s">
        <v>24</v>
      </c>
      <c r="F150" s="1">
        <v>10</v>
      </c>
      <c r="G150" s="1">
        <v>276.17</v>
      </c>
      <c r="H150" s="1">
        <v>2761.7</v>
      </c>
      <c r="I150" s="1">
        <v>2701.7</v>
      </c>
      <c r="J150" s="1">
        <v>60</v>
      </c>
      <c r="K150" s="1" t="s">
        <v>25</v>
      </c>
      <c r="L150" s="1" t="s">
        <v>33</v>
      </c>
      <c r="M150" s="1" t="s">
        <v>27</v>
      </c>
      <c r="N150" s="1" t="s">
        <v>28</v>
      </c>
    </row>
    <row r="151" spans="1:14">
      <c r="A151" s="2">
        <v>45356</v>
      </c>
      <c r="B151" s="1" t="s">
        <v>60</v>
      </c>
      <c r="C151" s="1" t="s">
        <v>52</v>
      </c>
      <c r="D151" s="1" t="s">
        <v>23</v>
      </c>
      <c r="E151" s="1" t="s">
        <v>17</v>
      </c>
      <c r="F151" s="1">
        <v>1</v>
      </c>
      <c r="G151" s="1">
        <v>154.79</v>
      </c>
      <c r="H151" s="1">
        <v>154.79</v>
      </c>
      <c r="I151" s="1">
        <v>89.289999999999992</v>
      </c>
      <c r="J151" s="1">
        <v>65.5</v>
      </c>
      <c r="K151" s="1" t="s">
        <v>32</v>
      </c>
      <c r="L151" s="1" t="s">
        <v>19</v>
      </c>
      <c r="M151" s="1" t="s">
        <v>34</v>
      </c>
      <c r="N151" s="1" t="s">
        <v>35</v>
      </c>
    </row>
    <row r="152" spans="1:14">
      <c r="A152" s="2">
        <v>45555</v>
      </c>
      <c r="B152" s="1" t="s">
        <v>14</v>
      </c>
      <c r="C152" s="1" t="s">
        <v>15</v>
      </c>
      <c r="D152" s="1" t="s">
        <v>16</v>
      </c>
      <c r="E152" s="1" t="s">
        <v>46</v>
      </c>
      <c r="F152" s="1">
        <v>6</v>
      </c>
      <c r="G152" s="1">
        <v>482.61</v>
      </c>
      <c r="H152" s="1">
        <v>2895.66</v>
      </c>
      <c r="I152" s="1">
        <v>2846.66</v>
      </c>
      <c r="J152" s="1">
        <v>49</v>
      </c>
      <c r="K152" s="1" t="s">
        <v>18</v>
      </c>
      <c r="L152" s="1" t="s">
        <v>26</v>
      </c>
      <c r="M152" s="1" t="s">
        <v>37</v>
      </c>
      <c r="N152" s="1" t="s">
        <v>21</v>
      </c>
    </row>
    <row r="153" spans="1:14">
      <c r="A153" s="2">
        <v>45610</v>
      </c>
      <c r="B153" s="1" t="s">
        <v>59</v>
      </c>
      <c r="C153" s="1" t="s">
        <v>30</v>
      </c>
      <c r="D153" s="1" t="s">
        <v>42</v>
      </c>
      <c r="E153" s="1" t="s">
        <v>46</v>
      </c>
      <c r="F153" s="1">
        <v>1</v>
      </c>
      <c r="G153" s="1">
        <v>96.33</v>
      </c>
      <c r="H153" s="1">
        <v>96.33</v>
      </c>
      <c r="I153" s="1">
        <v>56.33</v>
      </c>
      <c r="J153" s="1">
        <v>40</v>
      </c>
      <c r="K153" s="1" t="s">
        <v>25</v>
      </c>
      <c r="L153" s="1" t="s">
        <v>33</v>
      </c>
      <c r="M153" s="1" t="s">
        <v>20</v>
      </c>
      <c r="N153" s="1" t="s">
        <v>28</v>
      </c>
    </row>
    <row r="154" spans="1:14">
      <c r="A154" s="2">
        <v>45604</v>
      </c>
      <c r="B154" s="1" t="s">
        <v>60</v>
      </c>
      <c r="C154" s="1" t="s">
        <v>52</v>
      </c>
      <c r="D154" s="1" t="s">
        <v>23</v>
      </c>
      <c r="E154" s="1" t="s">
        <v>46</v>
      </c>
      <c r="F154" s="1">
        <v>6</v>
      </c>
      <c r="G154" s="1">
        <v>465.34</v>
      </c>
      <c r="H154" s="1">
        <v>2792.04</v>
      </c>
      <c r="I154" s="1">
        <v>2732.04</v>
      </c>
      <c r="J154" s="1">
        <v>60</v>
      </c>
      <c r="K154" s="1" t="s">
        <v>32</v>
      </c>
      <c r="L154" s="1" t="s">
        <v>19</v>
      </c>
      <c r="M154" s="1" t="s">
        <v>27</v>
      </c>
      <c r="N154" s="1" t="s">
        <v>35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832A-03A6-4D1D-9B57-D1228AE2878A}">
  <dimension ref="A1"/>
  <sheetViews>
    <sheetView showGridLines="0" workbookViewId="0">
      <selection activeCell="R12" sqref="R12"/>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Admin</cp:lastModifiedBy>
  <dcterms:created xsi:type="dcterms:W3CDTF">2025-01-09T17:40:39Z</dcterms:created>
  <dcterms:modified xsi:type="dcterms:W3CDTF">2025-09-23T05:25:50Z</dcterms:modified>
</cp:coreProperties>
</file>